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slicers/slicer2.xml" ContentType="application/vnd.ms-excel.slicer+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TG\Datasets\"/>
    </mc:Choice>
  </mc:AlternateContent>
  <xr:revisionPtr revIDLastSave="0" documentId="13_ncr:1_{23F9C5CE-040C-4840-863B-9C275B119478}" xr6:coauthVersionLast="47" xr6:coauthVersionMax="47" xr10:uidLastSave="{00000000-0000-0000-0000-000000000000}"/>
  <bookViews>
    <workbookView xWindow="-110" yWindow="-110" windowWidth="19420" windowHeight="10300" tabRatio="870" firstSheet="13" activeTab="20" xr2:uid="{4C30EA63-785D-4C9E-8075-E623A7E03072}"/>
  </bookViews>
  <sheets>
    <sheet name="Trade" sheetId="7" r:id="rId1"/>
    <sheet name="Order" sheetId="8" r:id="rId2"/>
    <sheet name="Trade (2)" sheetId="9" r:id="rId3"/>
    <sheet name="Order (2)" sheetId="10" r:id="rId4"/>
    <sheet name="Slicers" sheetId="11" r:id="rId5"/>
    <sheet name="text2col" sheetId="12" r:id="rId6"/>
    <sheet name="F&amp;R" sheetId="13" r:id="rId7"/>
    <sheet name="Cond.Form" sheetId="14" r:id="rId8"/>
    <sheet name="Cond.form1" sheetId="15" r:id="rId9"/>
    <sheet name="reg-w-sal" sheetId="17" r:id="rId10"/>
    <sheet name="man-w-av-sal" sheetId="18" r:id="rId11"/>
    <sheet name="Pivot" sheetId="16" r:id="rId12"/>
    <sheet name="Dashboard" sheetId="19" r:id="rId13"/>
    <sheet name="DropDown" sheetId="22" r:id="rId14"/>
    <sheet name="DDL" sheetId="20" r:id="rId15"/>
    <sheet name="master-sheet" sheetId="21" r:id="rId16"/>
    <sheet name="PMT" sheetId="23" r:id="rId17"/>
    <sheet name="Date-Func" sheetId="24" r:id="rId18"/>
    <sheet name="Agg.Func" sheetId="25" r:id="rId19"/>
    <sheet name="Subtotal" sheetId="26" r:id="rId20"/>
    <sheet name="Log_Func" sheetId="27" r:id="rId21"/>
    <sheet name="msg+form" sheetId="28" r:id="rId22"/>
    <sheet name="Lookups" sheetId="29" r:id="rId23"/>
    <sheet name="A-macro" sheetId="30" r:id="rId24"/>
    <sheet name="AM" sheetId="31" r:id="rId25"/>
    <sheet name="R-Macro" sheetId="32" r:id="rId26"/>
    <sheet name="RM" sheetId="33" r:id="rId27"/>
  </sheets>
  <definedNames>
    <definedName name="_xlnm._FilterDatabase" localSheetId="18" hidden="1">Agg.Func!$A$1:$I$11</definedName>
    <definedName name="_xlnm._FilterDatabase" localSheetId="7" hidden="1">'Cond.Form'!$A$1:$I$11</definedName>
    <definedName name="_xlnm._FilterDatabase" localSheetId="8" hidden="1">'Cond.form1'!$A$1:$I$11</definedName>
    <definedName name="_xlnm._FilterDatabase" localSheetId="17" hidden="1">'Date-Func'!$A$1:$I$11</definedName>
    <definedName name="_xlnm._FilterDatabase" localSheetId="6" hidden="1">'F&amp;R'!$A$1:$I$11</definedName>
    <definedName name="_xlnm._FilterDatabase" localSheetId="22" hidden="1">Lookups!$A$1:$I$1</definedName>
    <definedName name="_xlnm._FilterDatabase" localSheetId="3" hidden="1">'Order (2)'!$A$8:$G$8</definedName>
    <definedName name="_xlnm._FilterDatabase" localSheetId="11" hidden="1">Pivot!$A$1:$I$11</definedName>
    <definedName name="_xlnm._FilterDatabase" localSheetId="4" hidden="1">Slicers!$A$9:$I$19</definedName>
    <definedName name="_xlnm._FilterDatabase" localSheetId="19" hidden="1">Subtotal!$A$1:$I$1</definedName>
    <definedName name="_xlnm._FilterDatabase" localSheetId="0" hidden="1">Trade!$A$1:$I$1</definedName>
    <definedName name="_xlnm._FilterDatabase" localSheetId="2" hidden="1">'Trade (2)'!$A$1:$I$11</definedName>
    <definedName name="Excel">'master-sheet'!$E$2:$E$10</definedName>
    <definedName name="Git">'master-sheet'!$H$2:$H$6</definedName>
    <definedName name="Power_BI">'master-sheet'!$C$2:$C$9</definedName>
    <definedName name="Python">'master-sheet'!$B$2:$B$14</definedName>
    <definedName name="Slicer_Item">#N/A</definedName>
    <definedName name="Slicer_Item1">#N/A</definedName>
    <definedName name="Slicer_Manager">#N/A</definedName>
    <definedName name="Slicer_Region">#N/A</definedName>
    <definedName name="Slicer_Region1">#N/A</definedName>
    <definedName name="Slicer_Ship_Status">#N/A</definedName>
    <definedName name="SQL">'master-sheet'!$D$2:$D$9</definedName>
    <definedName name="VM">'master-sheet'!$G$2:$G$6</definedName>
    <definedName name="WEB_dev">'master-sheet'!$F$2:$F$8</definedName>
  </definedNames>
  <calcPr calcId="191029"/>
  <pivotCaches>
    <pivotCache cacheId="6" r:id="rId2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9"/>
        <x14:slicerCache r:id="rId30"/>
        <x14:slicerCache r:id="rId31"/>
        <x14:slicerCache r:id="rId32"/>
        <x14:slicerCache r:id="rId33"/>
        <x14:slicerCache r:id="rId3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27" l="1"/>
  <c r="G10" i="33" l="1"/>
  <c r="G6" i="33"/>
  <c r="G7" i="33"/>
  <c r="G8" i="33"/>
  <c r="G9" i="33"/>
  <c r="G5" i="33"/>
  <c r="D7" i="32"/>
  <c r="D3" i="32"/>
  <c r="D4" i="32"/>
  <c r="D5" i="32"/>
  <c r="D6" i="32"/>
  <c r="D2" i="32"/>
  <c r="D7" i="31"/>
  <c r="D3" i="31"/>
  <c r="D4" i="31"/>
  <c r="D5" i="31"/>
  <c r="D6" i="31"/>
  <c r="D2" i="31"/>
  <c r="D7" i="30"/>
  <c r="D3" i="30"/>
  <c r="D4" i="30"/>
  <c r="D5" i="30"/>
  <c r="D6" i="30"/>
  <c r="D2" i="30"/>
  <c r="D34" i="29" l="1"/>
  <c r="D35" i="29"/>
  <c r="D33" i="29"/>
  <c r="B34" i="29"/>
  <c r="B35" i="29"/>
  <c r="B33" i="29"/>
  <c r="B26" i="29"/>
  <c r="B27" i="29"/>
  <c r="B25" i="29"/>
  <c r="D26" i="29"/>
  <c r="D27" i="29"/>
  <c r="D25" i="29"/>
  <c r="G25" i="29"/>
  <c r="G17" i="29" l="1"/>
  <c r="D18" i="29"/>
  <c r="D19" i="29"/>
  <c r="D17" i="29"/>
  <c r="B17" i="29"/>
  <c r="B18" i="29"/>
  <c r="B19" i="29"/>
  <c r="I11" i="29"/>
  <c r="I10" i="29"/>
  <c r="I9" i="29"/>
  <c r="I8" i="29"/>
  <c r="H17" i="29" s="1"/>
  <c r="I7" i="29"/>
  <c r="C17" i="29" s="1"/>
  <c r="I6" i="29"/>
  <c r="I5" i="29"/>
  <c r="I4" i="29"/>
  <c r="I3" i="29"/>
  <c r="H25" i="29" s="1"/>
  <c r="I2" i="29"/>
  <c r="H9" i="27"/>
  <c r="H8" i="27"/>
  <c r="H7" i="27"/>
  <c r="B15" i="27" a="1"/>
  <c r="B15" i="27" s="1"/>
  <c r="B16" i="27" a="1"/>
  <c r="B16" i="27" s="1"/>
  <c r="B17" i="27" a="1"/>
  <c r="B17" i="27" s="1"/>
  <c r="B18" i="27" a="1"/>
  <c r="B18" i="27" s="1"/>
  <c r="B19" i="27" a="1"/>
  <c r="B19" i="27" s="1"/>
  <c r="B20" i="27" a="1"/>
  <c r="B20" i="27" s="1"/>
  <c r="H6" i="27" a="1"/>
  <c r="H6" i="27" s="1"/>
  <c r="C6" i="28"/>
  <c r="C3" i="28"/>
  <c r="C7" i="28"/>
  <c r="C8" i="28"/>
  <c r="C9" i="28"/>
  <c r="C1" i="28"/>
  <c r="H4" i="27"/>
  <c r="H3" i="27"/>
  <c r="H2" i="27"/>
  <c r="C18" i="29" l="1"/>
  <c r="C26" i="29"/>
  <c r="C34" i="29"/>
  <c r="C19" i="29"/>
  <c r="C35" i="29"/>
  <c r="C27" i="29"/>
  <c r="C25" i="29"/>
  <c r="C33" i="29"/>
  <c r="I10" i="26"/>
  <c r="I13" i="26"/>
  <c r="I6" i="26"/>
  <c r="I5" i="26"/>
  <c r="I9" i="26"/>
  <c r="I12" i="26"/>
  <c r="I4" i="26"/>
  <c r="I3" i="26"/>
  <c r="I2" i="26"/>
  <c r="I8" i="26"/>
  <c r="B32" i="25"/>
  <c r="B22" i="25"/>
  <c r="F19" i="25"/>
  <c r="F18" i="25"/>
  <c r="B20" i="25"/>
  <c r="B21" i="25"/>
  <c r="B19" i="25"/>
  <c r="B17" i="25"/>
  <c r="B16" i="25"/>
  <c r="B18" i="25"/>
  <c r="B15" i="25"/>
  <c r="I11" i="25"/>
  <c r="I10" i="25"/>
  <c r="I9" i="25"/>
  <c r="I8" i="25"/>
  <c r="I7" i="25"/>
  <c r="I6" i="25"/>
  <c r="I5" i="25"/>
  <c r="I4" i="25"/>
  <c r="I3" i="25"/>
  <c r="I2" i="25"/>
  <c r="B26" i="25" s="1"/>
  <c r="I14" i="26" l="1"/>
  <c r="I11" i="26"/>
  <c r="I7" i="26"/>
  <c r="B31" i="25"/>
  <c r="B25" i="25"/>
  <c r="B24" i="25"/>
  <c r="B23" i="25"/>
  <c r="I15" i="26" l="1"/>
  <c r="B36" i="24" l="1"/>
  <c r="B35" i="24"/>
  <c r="B34" i="24"/>
  <c r="B33" i="24"/>
  <c r="B32" i="24"/>
  <c r="B31" i="24"/>
  <c r="B30" i="24"/>
  <c r="B29" i="24"/>
  <c r="I19" i="24"/>
  <c r="I20" i="24"/>
  <c r="I21" i="24"/>
  <c r="I22" i="24"/>
  <c r="I23" i="24"/>
  <c r="I24" i="24"/>
  <c r="I25" i="24"/>
  <c r="I26" i="24"/>
  <c r="I27" i="24"/>
  <c r="I18" i="24"/>
  <c r="B28" i="24"/>
  <c r="B27" i="24"/>
  <c r="H19" i="24"/>
  <c r="H20" i="24"/>
  <c r="H21" i="24"/>
  <c r="H22" i="24"/>
  <c r="H23" i="24"/>
  <c r="H24" i="24"/>
  <c r="H25" i="24"/>
  <c r="H26" i="24"/>
  <c r="H27" i="24"/>
  <c r="H18" i="24"/>
  <c r="B26" i="24"/>
  <c r="B25" i="24"/>
  <c r="B24" i="24"/>
  <c r="G19" i="24"/>
  <c r="G20" i="24"/>
  <c r="G21" i="24"/>
  <c r="G22" i="24"/>
  <c r="G23" i="24"/>
  <c r="G24" i="24"/>
  <c r="G25" i="24"/>
  <c r="G26" i="24"/>
  <c r="G27" i="24"/>
  <c r="G18" i="24"/>
  <c r="B23" i="24"/>
  <c r="F19" i="24"/>
  <c r="F20" i="24"/>
  <c r="F21" i="24"/>
  <c r="F22" i="24"/>
  <c r="F23" i="24"/>
  <c r="F24" i="24"/>
  <c r="F25" i="24"/>
  <c r="F26" i="24"/>
  <c r="F27" i="24"/>
  <c r="F18" i="24"/>
  <c r="B22" i="24"/>
  <c r="B21" i="24"/>
  <c r="B20" i="24"/>
  <c r="B19" i="24"/>
  <c r="B18" i="24"/>
  <c r="I11" i="24"/>
  <c r="I10" i="24"/>
  <c r="I9" i="24"/>
  <c r="I8" i="24"/>
  <c r="I7" i="24"/>
  <c r="I6" i="24"/>
  <c r="I5" i="24"/>
  <c r="I4" i="24"/>
  <c r="I3" i="24"/>
  <c r="I2" i="24"/>
  <c r="E2" i="23" l="1"/>
  <c r="B2" i="22" a="1"/>
  <c r="B2" i="22" l="1"/>
  <c r="J2" i="20" l="1" a="1"/>
  <c r="J2" i="20" s="1"/>
  <c r="I11" i="16"/>
  <c r="I10" i="16"/>
  <c r="I9" i="16"/>
  <c r="I8" i="16"/>
  <c r="I7" i="16"/>
  <c r="I6" i="16"/>
  <c r="I5" i="16"/>
  <c r="I4" i="16"/>
  <c r="I3" i="16"/>
  <c r="I2" i="16"/>
  <c r="I24" i="15"/>
  <c r="I23" i="15"/>
  <c r="I22" i="15"/>
  <c r="I21" i="15"/>
  <c r="I20" i="15"/>
  <c r="I19" i="15"/>
  <c r="I18" i="15"/>
  <c r="I17" i="15"/>
  <c r="I16" i="15"/>
  <c r="I15" i="15"/>
  <c r="I11" i="15"/>
  <c r="I10" i="15"/>
  <c r="I9" i="15"/>
  <c r="I8" i="15"/>
  <c r="I7" i="15"/>
  <c r="I6" i="15"/>
  <c r="I5" i="15"/>
  <c r="I4" i="15"/>
  <c r="I3" i="15"/>
  <c r="I2" i="15"/>
  <c r="I11" i="14" l="1"/>
  <c r="I10" i="14"/>
  <c r="I9" i="14"/>
  <c r="I8" i="14"/>
  <c r="I7" i="14"/>
  <c r="I6" i="14"/>
  <c r="I5" i="14"/>
  <c r="I4" i="14"/>
  <c r="I3" i="14"/>
  <c r="I2" i="14"/>
  <c r="I11" i="13"/>
  <c r="I10" i="13"/>
  <c r="I9" i="13"/>
  <c r="I8" i="13"/>
  <c r="I7" i="13"/>
  <c r="I6" i="13"/>
  <c r="I5" i="13"/>
  <c r="I4" i="13"/>
  <c r="I3" i="13"/>
  <c r="I2" i="13"/>
  <c r="C31" i="12"/>
  <c r="C32" i="12"/>
  <c r="C33" i="12"/>
  <c r="C34" i="12"/>
  <c r="C35" i="12"/>
  <c r="C36" i="12"/>
  <c r="C37" i="12"/>
  <c r="C38" i="12"/>
  <c r="C39" i="12"/>
  <c r="C40" i="12"/>
  <c r="C18" i="12"/>
  <c r="C19" i="12"/>
  <c r="C20" i="12"/>
  <c r="C21" i="12"/>
  <c r="C22" i="12"/>
  <c r="C23" i="12"/>
  <c r="C24" i="12"/>
  <c r="C25" i="12"/>
  <c r="C26" i="12"/>
  <c r="C17" i="12"/>
  <c r="K46" i="9"/>
  <c r="J46" i="9"/>
  <c r="I46" i="9"/>
  <c r="H46" i="9"/>
  <c r="G46" i="9"/>
  <c r="F46" i="9"/>
  <c r="E46" i="9"/>
  <c r="D46" i="9"/>
  <c r="C46" i="9"/>
  <c r="B46" i="9"/>
  <c r="I19" i="11"/>
  <c r="I18" i="11"/>
  <c r="I17" i="11"/>
  <c r="I16" i="11"/>
  <c r="I15" i="11"/>
  <c r="I14" i="11"/>
  <c r="I13" i="11"/>
  <c r="I12" i="11"/>
  <c r="I11" i="11"/>
  <c r="I10" i="11"/>
  <c r="J2" i="9"/>
  <c r="J3" i="9"/>
  <c r="J4" i="9"/>
  <c r="J5" i="9"/>
  <c r="J6" i="9"/>
  <c r="J7" i="9"/>
  <c r="J8" i="9"/>
  <c r="J9" i="9"/>
  <c r="J10" i="9"/>
  <c r="J11" i="9"/>
  <c r="I11" i="9"/>
  <c r="I10" i="9"/>
  <c r="I9" i="9"/>
  <c r="I8" i="9"/>
  <c r="I7" i="9"/>
  <c r="I6" i="9"/>
  <c r="I5" i="9"/>
  <c r="I4" i="9"/>
  <c r="I3" i="9"/>
  <c r="I2" i="9"/>
  <c r="H6" i="11" l="1"/>
  <c r="H3" i="11"/>
  <c r="I11" i="7"/>
  <c r="I10" i="7"/>
  <c r="I9" i="7"/>
  <c r="I8" i="7"/>
  <c r="I7" i="7"/>
  <c r="I6" i="7"/>
  <c r="I5" i="7"/>
  <c r="I4" i="7"/>
  <c r="I3" i="7"/>
  <c r="I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F626CC-06D6-46A0-9CC1-DA278DAADCD7}" keepAlive="1" name="Query - Document" description="Connection to the 'Document' query in the workbook." type="5" refreshedVersion="0" background="1">
    <dbPr connection="Provider=Microsoft.Mashup.OleDb.1;Data Source=$Workbook$;Location=Document;Extended Properties=&quot;&quot;" command="SELECT * FROM [Document]"/>
  </connection>
  <connection id="2" xr16:uid="{75EA6235-36D9-4944-A205-56A17A6D2654}" keepAlive="1" name="Query - IF-AND-OR-NOT" description="Connection to the 'IF-AND-OR-NOT' query in the workbook." type="5" refreshedVersion="0" background="1">
    <dbPr connection="Provider=Microsoft.Mashup.OleDb.1;Data Source=$Workbook$;Location=IF-AND-OR-NOT;Extended Properties=&quot;&quot;" command="SELECT * FROM [IF-AND-OR-NO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<sst xmlns="http://schemas.openxmlformats.org/spreadsheetml/2006/main" count="1264" uniqueCount="296">
  <si>
    <t>OrderDate</t>
  </si>
  <si>
    <t>Region</t>
  </si>
  <si>
    <t>Manager</t>
  </si>
  <si>
    <t>SalesMan</t>
  </si>
  <si>
    <t>Item</t>
  </si>
  <si>
    <t>Units</t>
  </si>
  <si>
    <t>Unit_price</t>
  </si>
  <si>
    <t>Sale_amt</t>
  </si>
  <si>
    <t>East</t>
  </si>
  <si>
    <t>Martha</t>
  </si>
  <si>
    <t>Alexander</t>
  </si>
  <si>
    <t>Television</t>
  </si>
  <si>
    <t>Central</t>
  </si>
  <si>
    <t>Hermann</t>
  </si>
  <si>
    <t>Shelli</t>
  </si>
  <si>
    <t>Home Theater</t>
  </si>
  <si>
    <t>Luis</t>
  </si>
  <si>
    <t>Timothy</t>
  </si>
  <si>
    <t>David</t>
  </si>
  <si>
    <t>Cell Phone</t>
  </si>
  <si>
    <t>West</t>
  </si>
  <si>
    <t>Stephen</t>
  </si>
  <si>
    <t>Steven</t>
  </si>
  <si>
    <t>Douglas</t>
  </si>
  <si>
    <t>Michael</t>
  </si>
  <si>
    <t>Desk</t>
  </si>
  <si>
    <t>Video Games</t>
  </si>
  <si>
    <t>OrderID</t>
  </si>
  <si>
    <t>Delivery_Date</t>
  </si>
  <si>
    <t>Delivered</t>
  </si>
  <si>
    <t>In Transit</t>
  </si>
  <si>
    <t>Pending</t>
  </si>
  <si>
    <t>Ship_Status</t>
  </si>
  <si>
    <t>Ship_ID</t>
  </si>
  <si>
    <t>A1</t>
  </si>
  <si>
    <t>A2</t>
  </si>
  <si>
    <t>A3</t>
  </si>
  <si>
    <t>A4</t>
  </si>
  <si>
    <t>A5</t>
  </si>
  <si>
    <t>A6</t>
  </si>
  <si>
    <t>A7</t>
  </si>
  <si>
    <t>A8</t>
  </si>
  <si>
    <t>A9</t>
  </si>
  <si>
    <t>A10</t>
  </si>
  <si>
    <t>15% of Sal amt</t>
  </si>
  <si>
    <t>Total Sale Amount</t>
  </si>
  <si>
    <t>Average Sale Amount</t>
  </si>
  <si>
    <t>Customer_Name</t>
  </si>
  <si>
    <t>Ruby Patel</t>
  </si>
  <si>
    <t>Summer Hayward</t>
  </si>
  <si>
    <t>Devin Huddleston</t>
  </si>
  <si>
    <t>Mary Parker</t>
  </si>
  <si>
    <t>Daniel Burke</t>
  </si>
  <si>
    <t>Fredrick Beveridge</t>
  </si>
  <si>
    <t>Archer Hort</t>
  </si>
  <si>
    <t>Evie Flockhart</t>
  </si>
  <si>
    <t>Faith Greenwood</t>
  </si>
  <si>
    <t>Ruby</t>
  </si>
  <si>
    <t>Patel</t>
  </si>
  <si>
    <t>Summer</t>
  </si>
  <si>
    <t>Hayward</t>
  </si>
  <si>
    <t>Devin</t>
  </si>
  <si>
    <t>Huddleston</t>
  </si>
  <si>
    <t>Mary</t>
  </si>
  <si>
    <t>Parker</t>
  </si>
  <si>
    <t>Daniel</t>
  </si>
  <si>
    <t>Burke</t>
  </si>
  <si>
    <t>Fredrick</t>
  </si>
  <si>
    <t>Beveridge</t>
  </si>
  <si>
    <t>Archer</t>
  </si>
  <si>
    <t>Hort</t>
  </si>
  <si>
    <t>Evie</t>
  </si>
  <si>
    <t>Flockhart</t>
  </si>
  <si>
    <t>Faith</t>
  </si>
  <si>
    <t>Greenwood</t>
  </si>
  <si>
    <t>First Name</t>
  </si>
  <si>
    <t>Last Name</t>
  </si>
  <si>
    <t>Split texts</t>
  </si>
  <si>
    <t>Merging texts</t>
  </si>
  <si>
    <t>Full Name</t>
  </si>
  <si>
    <t>CONCAT</t>
  </si>
  <si>
    <t>&amp;</t>
  </si>
  <si>
    <t>Ctrl + E</t>
  </si>
  <si>
    <t>Short</t>
  </si>
  <si>
    <t>R.P.</t>
  </si>
  <si>
    <t>S.H.</t>
  </si>
  <si>
    <t>D.H.</t>
  </si>
  <si>
    <t>M.P.</t>
  </si>
  <si>
    <t>D.B.</t>
  </si>
  <si>
    <t>F.B.</t>
  </si>
  <si>
    <t>A.H.</t>
  </si>
  <si>
    <t>E.F.</t>
  </si>
  <si>
    <t>F.G.</t>
  </si>
  <si>
    <t>TV</t>
  </si>
  <si>
    <t>Column Labels</t>
  </si>
  <si>
    <t>Grand Total</t>
  </si>
  <si>
    <t>Sum of Sale_amt</t>
  </si>
  <si>
    <t>(All)</t>
  </si>
  <si>
    <t>Average of Sale_amt</t>
  </si>
  <si>
    <t>Row Labels</t>
  </si>
  <si>
    <t>Sales Analysis</t>
  </si>
  <si>
    <t>Unique Manager</t>
  </si>
  <si>
    <t>Manager List</t>
  </si>
  <si>
    <t>Tools</t>
  </si>
  <si>
    <t>Python</t>
  </si>
  <si>
    <t>Power_BI</t>
  </si>
  <si>
    <t>SQL</t>
  </si>
  <si>
    <t>Excel</t>
  </si>
  <si>
    <t>WEB_dev</t>
  </si>
  <si>
    <t>VM</t>
  </si>
  <si>
    <t>Git</t>
  </si>
  <si>
    <t>Variables</t>
  </si>
  <si>
    <t>PBI Desktop</t>
  </si>
  <si>
    <t>DDL</t>
  </si>
  <si>
    <t>Basic</t>
  </si>
  <si>
    <t>HTML</t>
  </si>
  <si>
    <t>Hypervisor</t>
  </si>
  <si>
    <t>VCS</t>
  </si>
  <si>
    <t>Data Types</t>
  </si>
  <si>
    <t>PBI Mobile</t>
  </si>
  <si>
    <t>DML</t>
  </si>
  <si>
    <t>Advanced</t>
  </si>
  <si>
    <t>CSS</t>
  </si>
  <si>
    <t>VMware</t>
  </si>
  <si>
    <t>GitHub</t>
  </si>
  <si>
    <t>Loop</t>
  </si>
  <si>
    <t>Views</t>
  </si>
  <si>
    <t>DQL</t>
  </si>
  <si>
    <t>Aggregates</t>
  </si>
  <si>
    <t>Javascript</t>
  </si>
  <si>
    <t>Ubuntu</t>
  </si>
  <si>
    <t>GitLab</t>
  </si>
  <si>
    <t>Functions</t>
  </si>
  <si>
    <t>Panes</t>
  </si>
  <si>
    <t>DCL</t>
  </si>
  <si>
    <t>Slicers</t>
  </si>
  <si>
    <t>Docker</t>
  </si>
  <si>
    <t>Linux</t>
  </si>
  <si>
    <t>Projects</t>
  </si>
  <si>
    <t>Class</t>
  </si>
  <si>
    <t>Canvas</t>
  </si>
  <si>
    <t>TCL</t>
  </si>
  <si>
    <t>Formulas</t>
  </si>
  <si>
    <t>Images</t>
  </si>
  <si>
    <t>OOP</t>
  </si>
  <si>
    <t>Visualization</t>
  </si>
  <si>
    <t>SFL</t>
  </si>
  <si>
    <t>Containers</t>
  </si>
  <si>
    <t>Polymorphism</t>
  </si>
  <si>
    <t>Dashboard</t>
  </si>
  <si>
    <t>WFL</t>
  </si>
  <si>
    <t>Lookups</t>
  </si>
  <si>
    <t>Encapsulation</t>
  </si>
  <si>
    <t>PMT</t>
  </si>
  <si>
    <t>Inheritance</t>
  </si>
  <si>
    <t>Pandas</t>
  </si>
  <si>
    <t>Matplotlib</t>
  </si>
  <si>
    <t>Seaborn</t>
  </si>
  <si>
    <t>Main Column</t>
  </si>
  <si>
    <t>Dependent Columns</t>
  </si>
  <si>
    <t>Curriculum</t>
  </si>
  <si>
    <t>Principal Amount</t>
  </si>
  <si>
    <t>Duration (Years)</t>
  </si>
  <si>
    <t>Interest (Annual)</t>
  </si>
  <si>
    <t>mult. By 12</t>
  </si>
  <si>
    <t>Div. By 12</t>
  </si>
  <si>
    <r>
      <t>EMI (</t>
    </r>
    <r>
      <rPr>
        <b/>
        <sz val="11"/>
        <color rgb="FFC00000"/>
        <rFont val="Calibri"/>
        <family val="2"/>
        <scheme val="minor"/>
      </rPr>
      <t>PMT</t>
    </r>
    <r>
      <rPr>
        <b/>
        <sz val="11"/>
        <color rgb="FF0000FF"/>
        <rFont val="Calibri"/>
        <family val="2"/>
        <scheme val="minor"/>
      </rPr>
      <t>)</t>
    </r>
  </si>
  <si>
    <t>DATE FUNCTIONS</t>
  </si>
  <si>
    <t>Function/Formula</t>
  </si>
  <si>
    <t>Remarks</t>
  </si>
  <si>
    <t>TODAY()</t>
  </si>
  <si>
    <t>Current Date</t>
  </si>
  <si>
    <t>TODAY() + 10</t>
  </si>
  <si>
    <t>Future Date</t>
  </si>
  <si>
    <t>NOW()</t>
  </si>
  <si>
    <t>Current Date &amp; Time</t>
  </si>
  <si>
    <t>DAY(TODAY())</t>
  </si>
  <si>
    <r>
      <t>DAY(</t>
    </r>
    <r>
      <rPr>
        <b/>
        <sz val="11"/>
        <color rgb="FFFF0000"/>
        <rFont val="Calibri"/>
        <family val="2"/>
        <scheme val="minor"/>
      </rPr>
      <t>"</t>
    </r>
    <r>
      <rPr>
        <sz val="11"/>
        <color theme="1"/>
        <rFont val="Calibri"/>
        <family val="2"/>
        <scheme val="minor"/>
      </rPr>
      <t>23-03-2025</t>
    </r>
    <r>
      <rPr>
        <b/>
        <sz val="11"/>
        <color rgb="FFFF0000"/>
        <rFont val="Calibri"/>
        <family val="2"/>
        <scheme val="minor"/>
      </rPr>
      <t>"</t>
    </r>
    <r>
      <rPr>
        <sz val="11"/>
        <color theme="1"/>
        <rFont val="Calibri"/>
        <family val="2"/>
        <scheme val="minor"/>
      </rPr>
      <t>)</t>
    </r>
  </si>
  <si>
    <r>
      <t xml:space="preserve">Extract the </t>
    </r>
    <r>
      <rPr>
        <b/>
        <sz val="10"/>
        <color rgb="FF0070C0"/>
        <rFont val="Calibri"/>
        <family val="2"/>
        <scheme val="minor"/>
      </rPr>
      <t>Day</t>
    </r>
    <r>
      <rPr>
        <sz val="10"/>
        <color rgb="FF0070C0"/>
        <rFont val="Calibri"/>
        <family val="2"/>
        <scheme val="minor"/>
      </rPr>
      <t xml:space="preserve"> from a date</t>
    </r>
  </si>
  <si>
    <t>DAY()</t>
  </si>
  <si>
    <t>MONTH(TODAY())</t>
  </si>
  <si>
    <r>
      <t xml:space="preserve">Extract the </t>
    </r>
    <r>
      <rPr>
        <b/>
        <sz val="10"/>
        <color rgb="FF0070C0"/>
        <rFont val="Calibri"/>
        <family val="2"/>
        <scheme val="minor"/>
      </rPr>
      <t>Month</t>
    </r>
    <r>
      <rPr>
        <sz val="10"/>
        <color rgb="FF0070C0"/>
        <rFont val="Calibri"/>
        <family val="2"/>
        <scheme val="minor"/>
      </rPr>
      <t xml:space="preserve"> from a date</t>
    </r>
  </si>
  <si>
    <t>MONTH()</t>
  </si>
  <si>
    <r>
      <t>MONTH(</t>
    </r>
    <r>
      <rPr>
        <b/>
        <sz val="11"/>
        <color rgb="FFFF0000"/>
        <rFont val="Calibri"/>
        <family val="2"/>
        <scheme val="minor"/>
      </rPr>
      <t>"</t>
    </r>
    <r>
      <rPr>
        <sz val="11"/>
        <color theme="1"/>
        <rFont val="Calibri"/>
        <family val="2"/>
        <scheme val="minor"/>
      </rPr>
      <t>23-Jun-2025</t>
    </r>
    <r>
      <rPr>
        <b/>
        <sz val="11"/>
        <color rgb="FFFF0000"/>
        <rFont val="Calibri"/>
        <family val="2"/>
        <scheme val="minor"/>
      </rPr>
      <t>"</t>
    </r>
    <r>
      <rPr>
        <sz val="11"/>
        <color theme="1"/>
        <rFont val="Calibri"/>
        <family val="2"/>
        <scheme val="minor"/>
      </rPr>
      <t>)</t>
    </r>
  </si>
  <si>
    <t>YEAR(TODAY())</t>
  </si>
  <si>
    <r>
      <t>YEAR(</t>
    </r>
    <r>
      <rPr>
        <b/>
        <sz val="11"/>
        <color rgb="FFFF0000"/>
        <rFont val="Calibri"/>
        <family val="2"/>
        <scheme val="minor"/>
      </rPr>
      <t>"</t>
    </r>
    <r>
      <rPr>
        <sz val="11"/>
        <color theme="1"/>
        <rFont val="Calibri"/>
        <family val="2"/>
        <scheme val="minor"/>
      </rPr>
      <t>23-Jun-2025</t>
    </r>
    <r>
      <rPr>
        <b/>
        <sz val="11"/>
        <color rgb="FFFF0000"/>
        <rFont val="Calibri"/>
        <family val="2"/>
        <scheme val="minor"/>
      </rPr>
      <t>"</t>
    </r>
    <r>
      <rPr>
        <sz val="11"/>
        <color theme="1"/>
        <rFont val="Calibri"/>
        <family val="2"/>
        <scheme val="minor"/>
      </rPr>
      <t>)</t>
    </r>
  </si>
  <si>
    <r>
      <t xml:space="preserve">Extract the </t>
    </r>
    <r>
      <rPr>
        <b/>
        <sz val="10"/>
        <color rgb="FF0070C0"/>
        <rFont val="Calibri"/>
        <family val="2"/>
        <scheme val="minor"/>
      </rPr>
      <t>Year</t>
    </r>
    <r>
      <rPr>
        <sz val="10"/>
        <color rgb="FF0070C0"/>
        <rFont val="Calibri"/>
        <family val="2"/>
        <scheme val="minor"/>
      </rPr>
      <t xml:space="preserve"> from a date</t>
    </r>
  </si>
  <si>
    <t>YEAR()</t>
  </si>
  <si>
    <t>ROUNDUP(MONTH(TODAY())/3, 0)</t>
  </si>
  <si>
    <r>
      <t xml:space="preserve">Extract the </t>
    </r>
    <r>
      <rPr>
        <b/>
        <sz val="10"/>
        <color rgb="FF0070C0"/>
        <rFont val="Calibri"/>
        <family val="2"/>
        <scheme val="minor"/>
      </rPr>
      <t>Quarter</t>
    </r>
    <r>
      <rPr>
        <sz val="10"/>
        <color rgb="FF0070C0"/>
        <rFont val="Calibri"/>
        <family val="2"/>
        <scheme val="minor"/>
      </rPr>
      <t xml:space="preserve"> from a date</t>
    </r>
  </si>
  <si>
    <r>
      <t>ROUNDUP(MONTH(</t>
    </r>
    <r>
      <rPr>
        <b/>
        <sz val="11"/>
        <color rgb="FFFF0000"/>
        <rFont val="Calibri"/>
        <family val="2"/>
        <scheme val="minor"/>
      </rPr>
      <t>"</t>
    </r>
    <r>
      <rPr>
        <sz val="11"/>
        <color theme="1"/>
        <rFont val="Calibri"/>
        <family val="2"/>
        <scheme val="minor"/>
      </rPr>
      <t>17-May-2025</t>
    </r>
    <r>
      <rPr>
        <b/>
        <sz val="11"/>
        <color rgb="FFFF0000"/>
        <rFont val="Calibri"/>
        <family val="2"/>
        <scheme val="minor"/>
      </rPr>
      <t>"</t>
    </r>
    <r>
      <rPr>
        <sz val="11"/>
        <color theme="1"/>
        <rFont val="Calibri"/>
        <family val="2"/>
        <scheme val="minor"/>
      </rPr>
      <t>)/3, 0)</t>
    </r>
  </si>
  <si>
    <t>QUARTER()</t>
  </si>
  <si>
    <t>TEXT(TODAY(), "DD")</t>
  </si>
  <si>
    <t>TEXT(TODAY(), "MM")</t>
  </si>
  <si>
    <t>TEXT(TODAY(), "YYYY")</t>
  </si>
  <si>
    <t>TEXT("17-Jul-1993", "DDD")</t>
  </si>
  <si>
    <t>TEXT("17-Jul-1993", "DDDD")</t>
  </si>
  <si>
    <r>
      <t xml:space="preserve">Extract the </t>
    </r>
    <r>
      <rPr>
        <b/>
        <sz val="10"/>
        <color rgb="FF0070C0"/>
        <rFont val="Calibri"/>
        <family val="2"/>
        <scheme val="minor"/>
      </rPr>
      <t>Day</t>
    </r>
    <r>
      <rPr>
        <sz val="10"/>
        <color rgb="FF0070C0"/>
        <rFont val="Calibri"/>
        <family val="2"/>
        <scheme val="minor"/>
      </rPr>
      <t xml:space="preserve"> (short) name from a date</t>
    </r>
  </si>
  <si>
    <r>
      <t xml:space="preserve">Extract the </t>
    </r>
    <r>
      <rPr>
        <b/>
        <sz val="10"/>
        <color rgb="FF0070C0"/>
        <rFont val="Calibri"/>
        <family val="2"/>
        <scheme val="minor"/>
      </rPr>
      <t>Day</t>
    </r>
    <r>
      <rPr>
        <sz val="10"/>
        <color rgb="FF0070C0"/>
        <rFont val="Calibri"/>
        <family val="2"/>
        <scheme val="minor"/>
      </rPr>
      <t xml:space="preserve"> (full) name from a date</t>
    </r>
  </si>
  <si>
    <t>TEXT(TODAY(), "MMM")</t>
  </si>
  <si>
    <r>
      <t xml:space="preserve">Extract the </t>
    </r>
    <r>
      <rPr>
        <b/>
        <sz val="10"/>
        <color rgb="FF0070C0"/>
        <rFont val="Calibri"/>
        <family val="2"/>
        <scheme val="minor"/>
      </rPr>
      <t>Month</t>
    </r>
    <r>
      <rPr>
        <sz val="10"/>
        <color rgb="FF0070C0"/>
        <rFont val="Calibri"/>
        <family val="2"/>
        <scheme val="minor"/>
      </rPr>
      <t xml:space="preserve"> (short) name from a date</t>
    </r>
  </si>
  <si>
    <t>TEXT(TODAY(), "MMMM")</t>
  </si>
  <si>
    <r>
      <t xml:space="preserve">Extract the </t>
    </r>
    <r>
      <rPr>
        <b/>
        <sz val="10"/>
        <color rgb="FF0070C0"/>
        <rFont val="Calibri"/>
        <family val="2"/>
        <scheme val="minor"/>
      </rPr>
      <t>Month</t>
    </r>
    <r>
      <rPr>
        <sz val="10"/>
        <color rgb="FF0070C0"/>
        <rFont val="Calibri"/>
        <family val="2"/>
        <scheme val="minor"/>
      </rPr>
      <t xml:space="preserve"> (full) name from a date</t>
    </r>
  </si>
  <si>
    <t>TEXT(TODAY(), "YY")</t>
  </si>
  <si>
    <r>
      <t xml:space="preserve">Extract the </t>
    </r>
    <r>
      <rPr>
        <b/>
        <sz val="10"/>
        <color rgb="FF0070C0"/>
        <rFont val="Calibri"/>
        <family val="2"/>
        <scheme val="minor"/>
      </rPr>
      <t>Year</t>
    </r>
    <r>
      <rPr>
        <sz val="10"/>
        <color rgb="FF0070C0"/>
        <rFont val="Calibri"/>
        <family val="2"/>
        <scheme val="minor"/>
      </rPr>
      <t xml:space="preserve"> (short) from a date</t>
    </r>
  </si>
  <si>
    <t>Syntax</t>
  </si>
  <si>
    <t>COUNT</t>
  </si>
  <si>
    <t>COUNTA</t>
  </si>
  <si>
    <t>COUNTBLANK</t>
  </si>
  <si>
    <r>
      <t>Count the</t>
    </r>
    <r>
      <rPr>
        <sz val="11"/>
        <color rgb="FFFF0000"/>
        <rFont val="Calibri"/>
        <family val="2"/>
        <scheme val="minor"/>
      </rPr>
      <t xml:space="preserve"> number</t>
    </r>
    <r>
      <rPr>
        <sz val="11"/>
        <color theme="1"/>
        <rFont val="Calibri"/>
        <family val="2"/>
        <scheme val="minor"/>
      </rPr>
      <t xml:space="preserve"> values </t>
    </r>
    <r>
      <rPr>
        <sz val="11"/>
        <color rgb="FF0000FF"/>
        <rFont val="Calibri"/>
        <family val="2"/>
        <scheme val="minor"/>
      </rPr>
      <t>(Units)</t>
    </r>
  </si>
  <si>
    <r>
      <t>Count the</t>
    </r>
    <r>
      <rPr>
        <sz val="11"/>
        <color rgb="FFFF0000"/>
        <rFont val="Calibri"/>
        <family val="2"/>
        <scheme val="minor"/>
      </rPr>
      <t xml:space="preserve"> Char &amp; Num</t>
    </r>
    <r>
      <rPr>
        <sz val="11"/>
        <color theme="1"/>
        <rFont val="Calibri"/>
        <family val="2"/>
        <scheme val="minor"/>
      </rPr>
      <t xml:space="preserve"> values </t>
    </r>
    <r>
      <rPr>
        <sz val="11"/>
        <color rgb="FF0000FF"/>
        <rFont val="Calibri"/>
        <family val="2"/>
        <scheme val="minor"/>
      </rPr>
      <t>(Items)</t>
    </r>
  </si>
  <si>
    <r>
      <t>Count the</t>
    </r>
    <r>
      <rPr>
        <sz val="11"/>
        <color rgb="FFFF0000"/>
        <rFont val="Calibri"/>
        <family val="2"/>
        <scheme val="minor"/>
      </rPr>
      <t xml:space="preserve"> Char &amp; Num</t>
    </r>
    <r>
      <rPr>
        <sz val="11"/>
        <color theme="1"/>
        <rFont val="Calibri"/>
        <family val="2"/>
        <scheme val="minor"/>
      </rPr>
      <t xml:space="preserve"> values </t>
    </r>
    <r>
      <rPr>
        <sz val="11"/>
        <color rgb="FF0000FF"/>
        <rFont val="Calibri"/>
        <family val="2"/>
        <scheme val="minor"/>
      </rPr>
      <t>(Units)</t>
    </r>
  </si>
  <si>
    <r>
      <t>Count the</t>
    </r>
    <r>
      <rPr>
        <sz val="11"/>
        <color rgb="FFFF0000"/>
        <rFont val="Calibri"/>
        <family val="2"/>
        <scheme val="minor"/>
      </rPr>
      <t xml:space="preserve"> empty</t>
    </r>
    <r>
      <rPr>
        <sz val="11"/>
        <color theme="1"/>
        <rFont val="Calibri"/>
        <family val="2"/>
        <scheme val="minor"/>
      </rPr>
      <t xml:space="preserve"> cells </t>
    </r>
    <r>
      <rPr>
        <sz val="11"/>
        <color rgb="FF0000FF"/>
        <rFont val="Calibri"/>
        <family val="2"/>
        <scheme val="minor"/>
      </rPr>
      <t>(SalesMan)</t>
    </r>
  </si>
  <si>
    <t>COUNTA + UNIQUE</t>
  </si>
  <si>
    <r>
      <t xml:space="preserve">Count the </t>
    </r>
    <r>
      <rPr>
        <sz val="11"/>
        <color rgb="FFFF0000"/>
        <rFont val="Calibri"/>
        <family val="2"/>
        <scheme val="minor"/>
      </rPr>
      <t>Unique</t>
    </r>
    <r>
      <rPr>
        <sz val="11"/>
        <color theme="1"/>
        <rFont val="Calibri"/>
        <family val="2"/>
        <scheme val="minor"/>
      </rPr>
      <t xml:space="preserve"> values </t>
    </r>
    <r>
      <rPr>
        <sz val="11"/>
        <color rgb="FF0000FF"/>
        <rFont val="Calibri"/>
        <family val="2"/>
        <scheme val="minor"/>
      </rPr>
      <t>(Region)</t>
    </r>
  </si>
  <si>
    <t>COUNTIF</t>
  </si>
  <si>
    <r>
      <t xml:space="preserve">Count the value with </t>
    </r>
    <r>
      <rPr>
        <sz val="11"/>
        <color rgb="FFFF0000"/>
        <rFont val="Calibri"/>
        <family val="2"/>
        <scheme val="minor"/>
      </rPr>
      <t>one condition</t>
    </r>
    <r>
      <rPr>
        <sz val="11"/>
        <color theme="1"/>
        <rFont val="Calibri"/>
        <family val="2"/>
        <scheme val="minor"/>
      </rPr>
      <t xml:space="preserve"> </t>
    </r>
    <r>
      <rPr>
        <sz val="11"/>
        <color rgb="FF0000FF"/>
        <rFont val="Calibri"/>
        <family val="2"/>
        <scheme val="minor"/>
      </rPr>
      <t xml:space="preserve">(Region - </t>
    </r>
    <r>
      <rPr>
        <sz val="11"/>
        <color rgb="FF00B050"/>
        <rFont val="Calibri"/>
        <family val="2"/>
        <scheme val="minor"/>
      </rPr>
      <t>East</t>
    </r>
    <r>
      <rPr>
        <sz val="11"/>
        <color rgb="FF0000FF"/>
        <rFont val="Calibri"/>
        <family val="2"/>
        <scheme val="minor"/>
      </rPr>
      <t>)</t>
    </r>
  </si>
  <si>
    <r>
      <t xml:space="preserve">Count the value with </t>
    </r>
    <r>
      <rPr>
        <sz val="11"/>
        <color rgb="FFFF0000"/>
        <rFont val="Calibri"/>
        <family val="2"/>
        <scheme val="minor"/>
      </rPr>
      <t>one condition</t>
    </r>
    <r>
      <rPr>
        <sz val="11"/>
        <color theme="1"/>
        <rFont val="Calibri"/>
        <family val="2"/>
        <scheme val="minor"/>
      </rPr>
      <t xml:space="preserve"> </t>
    </r>
    <r>
      <rPr>
        <sz val="11"/>
        <color rgb="FF0000FF"/>
        <rFont val="Calibri"/>
        <family val="2"/>
        <scheme val="minor"/>
      </rPr>
      <t xml:space="preserve">(Unit - </t>
    </r>
    <r>
      <rPr>
        <sz val="11"/>
        <color rgb="FF00B050"/>
        <rFont val="Calibri"/>
        <family val="2"/>
        <scheme val="minor"/>
      </rPr>
      <t>&gt;50</t>
    </r>
    <r>
      <rPr>
        <sz val="11"/>
        <color rgb="FF0000FF"/>
        <rFont val="Calibri"/>
        <family val="2"/>
        <scheme val="minor"/>
      </rPr>
      <t>)</t>
    </r>
  </si>
  <si>
    <t>Count</t>
  </si>
  <si>
    <t>Function</t>
  </si>
  <si>
    <r>
      <t>COUNTIF</t>
    </r>
    <r>
      <rPr>
        <b/>
        <sz val="11"/>
        <color rgb="FFFF0000"/>
        <rFont val="Calibri"/>
        <family val="2"/>
        <scheme val="minor"/>
      </rPr>
      <t>S</t>
    </r>
  </si>
  <si>
    <r>
      <t xml:space="preserve">Count the value with </t>
    </r>
    <r>
      <rPr>
        <sz val="11"/>
        <color rgb="FFFF0000"/>
        <rFont val="Calibri"/>
        <family val="2"/>
        <scheme val="minor"/>
      </rPr>
      <t>multiple conditions</t>
    </r>
    <r>
      <rPr>
        <sz val="11"/>
        <color theme="1"/>
        <rFont val="Calibri"/>
        <family val="2"/>
        <scheme val="minor"/>
      </rPr>
      <t xml:space="preserve"> (</t>
    </r>
    <r>
      <rPr>
        <sz val="11"/>
        <color rgb="FF0000FF"/>
        <rFont val="Calibri"/>
        <family val="2"/>
        <scheme val="minor"/>
      </rPr>
      <t>East Reg</t>
    </r>
    <r>
      <rPr>
        <sz val="11"/>
        <color theme="1"/>
        <rFont val="Calibri"/>
        <family val="2"/>
        <scheme val="minor"/>
      </rPr>
      <t xml:space="preserve"> - </t>
    </r>
    <r>
      <rPr>
        <sz val="11"/>
        <color rgb="FF00A29E"/>
        <rFont val="Calibri"/>
        <family val="2"/>
        <scheme val="minor"/>
      </rPr>
      <t>Television</t>
    </r>
    <r>
      <rPr>
        <sz val="11"/>
        <color theme="1"/>
        <rFont val="Calibri"/>
        <family val="2"/>
        <scheme val="minor"/>
      </rPr>
      <t>)</t>
    </r>
  </si>
  <si>
    <t>SUM</t>
  </si>
  <si>
    <r>
      <t xml:space="preserve">Add a range </t>
    </r>
    <r>
      <rPr>
        <sz val="11"/>
        <color rgb="FF0000FF"/>
        <rFont val="Calibri"/>
        <family val="2"/>
        <scheme val="minor"/>
      </rPr>
      <t>(Sale_amt)</t>
    </r>
  </si>
  <si>
    <t>SUMIF</t>
  </si>
  <si>
    <r>
      <t xml:space="preserve">Add a range with </t>
    </r>
    <r>
      <rPr>
        <sz val="11"/>
        <color rgb="FFFF0000"/>
        <rFont val="Calibri"/>
        <family val="2"/>
        <scheme val="minor"/>
      </rPr>
      <t>one condition</t>
    </r>
    <r>
      <rPr>
        <sz val="11"/>
        <color theme="1"/>
        <rFont val="Calibri"/>
        <family val="2"/>
        <scheme val="minor"/>
      </rPr>
      <t xml:space="preserve"> (</t>
    </r>
    <r>
      <rPr>
        <sz val="11"/>
        <color rgb="FF0000FF"/>
        <rFont val="Calibri"/>
        <family val="2"/>
        <scheme val="minor"/>
      </rPr>
      <t>Sale_amt</t>
    </r>
    <r>
      <rPr>
        <sz val="11"/>
        <color theme="1"/>
        <rFont val="Calibri"/>
        <family val="2"/>
        <scheme val="minor"/>
      </rPr>
      <t xml:space="preserve"> - </t>
    </r>
    <r>
      <rPr>
        <sz val="11"/>
        <color rgb="FF00A29E"/>
        <rFont val="Calibri"/>
        <family val="2"/>
        <scheme val="minor"/>
      </rPr>
      <t>Television</t>
    </r>
    <r>
      <rPr>
        <sz val="11"/>
        <color theme="1"/>
        <rFont val="Calibri"/>
        <family val="2"/>
        <scheme val="minor"/>
      </rPr>
      <t>)</t>
    </r>
  </si>
  <si>
    <r>
      <t>SUMIF</t>
    </r>
    <r>
      <rPr>
        <b/>
        <sz val="11"/>
        <color rgb="FFFF0000"/>
        <rFont val="Calibri"/>
        <family val="2"/>
        <scheme val="minor"/>
      </rPr>
      <t>S</t>
    </r>
  </si>
  <si>
    <r>
      <t xml:space="preserve">Add a range with </t>
    </r>
    <r>
      <rPr>
        <sz val="11"/>
        <color rgb="FFFF0000"/>
        <rFont val="Calibri"/>
        <family val="2"/>
        <scheme val="minor"/>
      </rPr>
      <t>multiple conditions</t>
    </r>
    <r>
      <rPr>
        <sz val="11"/>
        <color theme="1"/>
        <rFont val="Calibri"/>
        <family val="2"/>
        <scheme val="minor"/>
      </rPr>
      <t xml:space="preserve"> (</t>
    </r>
    <r>
      <rPr>
        <sz val="11"/>
        <color rgb="FF0070C0"/>
        <rFont val="Calibri"/>
        <family val="2"/>
        <scheme val="minor"/>
      </rPr>
      <t>Sale_amt</t>
    </r>
    <r>
      <rPr>
        <sz val="11"/>
        <color theme="1"/>
        <rFont val="Calibri"/>
        <family val="2"/>
        <scheme val="minor"/>
      </rPr>
      <t xml:space="preserve"> - </t>
    </r>
    <r>
      <rPr>
        <sz val="11"/>
        <color rgb="FF0000FF"/>
        <rFont val="Calibri"/>
        <family val="2"/>
        <scheme val="minor"/>
      </rPr>
      <t>East Reg</t>
    </r>
    <r>
      <rPr>
        <sz val="11"/>
        <color theme="1"/>
        <rFont val="Calibri"/>
        <family val="2"/>
        <scheme val="minor"/>
      </rPr>
      <t xml:space="preserve"> - </t>
    </r>
    <r>
      <rPr>
        <sz val="11"/>
        <color rgb="FF00A29E"/>
        <rFont val="Calibri"/>
        <family val="2"/>
        <scheme val="minor"/>
      </rPr>
      <t>Television</t>
    </r>
    <r>
      <rPr>
        <sz val="11"/>
        <color theme="1"/>
        <rFont val="Calibri"/>
        <family val="2"/>
        <scheme val="minor"/>
      </rPr>
      <t>)</t>
    </r>
  </si>
  <si>
    <r>
      <t xml:space="preserve">Average a range </t>
    </r>
    <r>
      <rPr>
        <sz val="11"/>
        <color rgb="FF0000FF"/>
        <rFont val="Calibri"/>
        <family val="2"/>
        <scheme val="minor"/>
      </rPr>
      <t>(Sale_amt)</t>
    </r>
  </si>
  <si>
    <r>
      <t xml:space="preserve">Average a range with </t>
    </r>
    <r>
      <rPr>
        <sz val="11"/>
        <color rgb="FFFF0000"/>
        <rFont val="Calibri"/>
        <family val="2"/>
        <scheme val="minor"/>
      </rPr>
      <t>one condition</t>
    </r>
    <r>
      <rPr>
        <sz val="11"/>
        <color theme="1"/>
        <rFont val="Calibri"/>
        <family val="2"/>
        <scheme val="minor"/>
      </rPr>
      <t xml:space="preserve"> (</t>
    </r>
    <r>
      <rPr>
        <sz val="11"/>
        <color rgb="FF0000FF"/>
        <rFont val="Calibri"/>
        <family val="2"/>
        <scheme val="minor"/>
      </rPr>
      <t>Sale_amt</t>
    </r>
    <r>
      <rPr>
        <sz val="11"/>
        <color theme="1"/>
        <rFont val="Calibri"/>
        <family val="2"/>
        <scheme val="minor"/>
      </rPr>
      <t xml:space="preserve"> - </t>
    </r>
    <r>
      <rPr>
        <sz val="11"/>
        <color rgb="FF00A29E"/>
        <rFont val="Calibri"/>
        <family val="2"/>
        <scheme val="minor"/>
      </rPr>
      <t>Television</t>
    </r>
    <r>
      <rPr>
        <sz val="11"/>
        <color theme="1"/>
        <rFont val="Calibri"/>
        <family val="2"/>
        <scheme val="minor"/>
      </rPr>
      <t>)</t>
    </r>
  </si>
  <si>
    <r>
      <t xml:space="preserve">Average a range with </t>
    </r>
    <r>
      <rPr>
        <sz val="11"/>
        <color rgb="FFFF0000"/>
        <rFont val="Calibri"/>
        <family val="2"/>
        <scheme val="minor"/>
      </rPr>
      <t>multiple conditions</t>
    </r>
    <r>
      <rPr>
        <sz val="11"/>
        <color theme="1"/>
        <rFont val="Calibri"/>
        <family val="2"/>
        <scheme val="minor"/>
      </rPr>
      <t xml:space="preserve"> (</t>
    </r>
    <r>
      <rPr>
        <sz val="11"/>
        <color rgb="FF0070C0"/>
        <rFont val="Calibri"/>
        <family val="2"/>
        <scheme val="minor"/>
      </rPr>
      <t>Sale_amt</t>
    </r>
    <r>
      <rPr>
        <sz val="11"/>
        <color theme="1"/>
        <rFont val="Calibri"/>
        <family val="2"/>
        <scheme val="minor"/>
      </rPr>
      <t xml:space="preserve"> - </t>
    </r>
    <r>
      <rPr>
        <sz val="11"/>
        <color rgb="FF0000FF"/>
        <rFont val="Calibri"/>
        <family val="2"/>
        <scheme val="minor"/>
      </rPr>
      <t>East Reg</t>
    </r>
    <r>
      <rPr>
        <sz val="11"/>
        <color theme="1"/>
        <rFont val="Calibri"/>
        <family val="2"/>
        <scheme val="minor"/>
      </rPr>
      <t xml:space="preserve"> - </t>
    </r>
    <r>
      <rPr>
        <sz val="11"/>
        <color rgb="FF00A29E"/>
        <rFont val="Calibri"/>
        <family val="2"/>
        <scheme val="minor"/>
      </rPr>
      <t>Television</t>
    </r>
    <r>
      <rPr>
        <sz val="11"/>
        <color theme="1"/>
        <rFont val="Calibri"/>
        <family val="2"/>
        <scheme val="minor"/>
      </rPr>
      <t>)</t>
    </r>
  </si>
  <si>
    <t>AVERAGE</t>
  </si>
  <si>
    <t>AVERAGEIF</t>
  </si>
  <si>
    <r>
      <t>AVERAGEIF</t>
    </r>
    <r>
      <rPr>
        <b/>
        <sz val="11"/>
        <color rgb="FFFF0000"/>
        <rFont val="Calibri"/>
        <family val="2"/>
        <scheme val="minor"/>
      </rPr>
      <t>S</t>
    </r>
  </si>
  <si>
    <t>MIN</t>
  </si>
  <si>
    <r>
      <t>Min value in a range (</t>
    </r>
    <r>
      <rPr>
        <sz val="11"/>
        <color rgb="FF0000FF"/>
        <rFont val="Calibri"/>
        <family val="2"/>
        <scheme val="minor"/>
      </rPr>
      <t>Sale_amt</t>
    </r>
    <r>
      <rPr>
        <sz val="11"/>
        <color theme="1"/>
        <rFont val="Calibri"/>
        <family val="2"/>
        <scheme val="minor"/>
      </rPr>
      <t>)</t>
    </r>
  </si>
  <si>
    <r>
      <t>MINIF</t>
    </r>
    <r>
      <rPr>
        <b/>
        <sz val="11"/>
        <color rgb="FFFF0000"/>
        <rFont val="Calibri"/>
        <family val="2"/>
        <scheme val="minor"/>
      </rPr>
      <t>S</t>
    </r>
  </si>
  <si>
    <r>
      <t>Min value with one condition (</t>
    </r>
    <r>
      <rPr>
        <sz val="11"/>
        <color rgb="FF0000FF"/>
        <rFont val="Calibri"/>
        <family val="2"/>
        <scheme val="minor"/>
      </rPr>
      <t>Sale_amt</t>
    </r>
    <r>
      <rPr>
        <sz val="11"/>
        <color theme="1"/>
        <rFont val="Calibri"/>
        <family val="2"/>
        <scheme val="minor"/>
      </rPr>
      <t xml:space="preserve"> - </t>
    </r>
    <r>
      <rPr>
        <sz val="11"/>
        <color rgb="FF00A29E"/>
        <rFont val="Calibri"/>
        <family val="2"/>
        <scheme val="minor"/>
      </rPr>
      <t>Television</t>
    </r>
    <r>
      <rPr>
        <sz val="11"/>
        <color theme="1"/>
        <rFont val="Calibri"/>
        <family val="2"/>
        <scheme val="minor"/>
      </rPr>
      <t>)</t>
    </r>
  </si>
  <si>
    <t>MAX</t>
  </si>
  <si>
    <r>
      <t>MAXIF</t>
    </r>
    <r>
      <rPr>
        <b/>
        <sz val="11"/>
        <color rgb="FFFF0000"/>
        <rFont val="Calibri"/>
        <family val="2"/>
        <scheme val="minor"/>
      </rPr>
      <t>S</t>
    </r>
  </si>
  <si>
    <r>
      <t>Max value in a range (</t>
    </r>
    <r>
      <rPr>
        <sz val="11"/>
        <color rgb="FF0000FF"/>
        <rFont val="Calibri"/>
        <family val="2"/>
        <scheme val="minor"/>
      </rPr>
      <t>Sale_amt</t>
    </r>
    <r>
      <rPr>
        <sz val="11"/>
        <color theme="1"/>
        <rFont val="Calibri"/>
        <family val="2"/>
        <scheme val="minor"/>
      </rPr>
      <t>)</t>
    </r>
  </si>
  <si>
    <r>
      <t>Max value with one condition (</t>
    </r>
    <r>
      <rPr>
        <sz val="11"/>
        <color rgb="FF0000FF"/>
        <rFont val="Calibri"/>
        <family val="2"/>
        <scheme val="minor"/>
      </rPr>
      <t>Sale_amt</t>
    </r>
    <r>
      <rPr>
        <sz val="11"/>
        <color theme="1"/>
        <rFont val="Calibri"/>
        <family val="2"/>
        <scheme val="minor"/>
      </rPr>
      <t xml:space="preserve"> - </t>
    </r>
    <r>
      <rPr>
        <sz val="11"/>
        <color rgb="FF00A29E"/>
        <rFont val="Calibri"/>
        <family val="2"/>
        <scheme val="minor"/>
      </rPr>
      <t>Television</t>
    </r>
    <r>
      <rPr>
        <sz val="11"/>
        <color theme="1"/>
        <rFont val="Calibri"/>
        <family val="2"/>
        <scheme val="minor"/>
      </rPr>
      <t>)</t>
    </r>
  </si>
  <si>
    <t>East Total</t>
  </si>
  <si>
    <t>Central Total</t>
  </si>
  <si>
    <t>West Total</t>
  </si>
  <si>
    <t>Value-1</t>
  </si>
  <si>
    <t>Value-2</t>
  </si>
  <si>
    <t>Value-3</t>
  </si>
  <si>
    <t>Value-4</t>
  </si>
  <si>
    <t>Example</t>
  </si>
  <si>
    <t>IF</t>
  </si>
  <si>
    <r>
      <t>IF(</t>
    </r>
    <r>
      <rPr>
        <b/>
        <sz val="8"/>
        <color theme="1"/>
        <rFont val="Calibri"/>
        <family val="2"/>
        <scheme val="minor"/>
      </rPr>
      <t>Condition</t>
    </r>
    <r>
      <rPr>
        <sz val="8"/>
        <color theme="1"/>
        <rFont val="Calibri"/>
        <family val="2"/>
        <scheme val="minor"/>
      </rPr>
      <t>, "</t>
    </r>
    <r>
      <rPr>
        <sz val="8"/>
        <color rgb="FF00B050"/>
        <rFont val="Calibri"/>
        <family val="2"/>
        <scheme val="minor"/>
      </rPr>
      <t>Value if True</t>
    </r>
    <r>
      <rPr>
        <sz val="8"/>
        <color theme="1"/>
        <rFont val="Calibri"/>
        <family val="2"/>
        <scheme val="minor"/>
      </rPr>
      <t>", "</t>
    </r>
    <r>
      <rPr>
        <sz val="8"/>
        <color rgb="FFFF0000"/>
        <rFont val="Calibri"/>
        <family val="2"/>
        <scheme val="minor"/>
      </rPr>
      <t>Value if False</t>
    </r>
    <r>
      <rPr>
        <sz val="8"/>
        <color theme="1"/>
        <rFont val="Calibri"/>
        <family val="2"/>
        <scheme val="minor"/>
      </rPr>
      <t>")</t>
    </r>
  </si>
  <si>
    <r>
      <t xml:space="preserve">If CONDITION </t>
    </r>
    <r>
      <rPr>
        <b/>
        <sz val="6"/>
        <color rgb="FF548135"/>
        <rFont val="Calibri"/>
        <family val="2"/>
        <scheme val="minor"/>
      </rPr>
      <t>Matches</t>
    </r>
    <r>
      <rPr>
        <sz val="6"/>
        <color rgb="FF000000"/>
        <rFont val="Calibri"/>
        <family val="2"/>
        <scheme val="minor"/>
      </rPr>
      <t xml:space="preserve">, will print the </t>
    </r>
    <r>
      <rPr>
        <b/>
        <sz val="6"/>
        <color rgb="FF000000"/>
        <rFont val="Calibri"/>
        <family val="2"/>
        <scheme val="minor"/>
      </rPr>
      <t>1st statement</t>
    </r>
    <r>
      <rPr>
        <sz val="6"/>
        <color rgb="FF000000"/>
        <rFont val="Calibri"/>
        <family val="2"/>
        <scheme val="minor"/>
      </rPr>
      <t xml:space="preserve"> (value if </t>
    </r>
    <r>
      <rPr>
        <b/>
        <sz val="6"/>
        <color rgb="FF00B050"/>
        <rFont val="Calibri"/>
        <family val="2"/>
        <scheme val="minor"/>
      </rPr>
      <t>True</t>
    </r>
    <r>
      <rPr>
        <sz val="6"/>
        <color rgb="FF000000"/>
        <rFont val="Calibri"/>
        <family val="2"/>
        <scheme val="minor"/>
      </rPr>
      <t xml:space="preserve"> part)
If CONDITION does </t>
    </r>
    <r>
      <rPr>
        <b/>
        <sz val="6"/>
        <color rgb="FFCD0FD7"/>
        <rFont val="Calibri"/>
        <family val="2"/>
        <scheme val="minor"/>
      </rPr>
      <t>not Match</t>
    </r>
    <r>
      <rPr>
        <sz val="6"/>
        <color rgb="FF000000"/>
        <rFont val="Calibri"/>
        <family val="2"/>
        <scheme val="minor"/>
      </rPr>
      <t xml:space="preserve">, will print the </t>
    </r>
    <r>
      <rPr>
        <b/>
        <sz val="6"/>
        <color rgb="FF000000"/>
        <rFont val="Calibri"/>
        <family val="2"/>
        <scheme val="minor"/>
      </rPr>
      <t xml:space="preserve">2nd statement </t>
    </r>
    <r>
      <rPr>
        <sz val="6"/>
        <color rgb="FF000000"/>
        <rFont val="Calibri"/>
        <family val="2"/>
        <scheme val="minor"/>
      </rPr>
      <t xml:space="preserve">(value if </t>
    </r>
    <r>
      <rPr>
        <b/>
        <sz val="6"/>
        <color rgb="FFFF0000"/>
        <rFont val="Calibri"/>
        <family val="2"/>
        <scheme val="minor"/>
      </rPr>
      <t>False</t>
    </r>
    <r>
      <rPr>
        <sz val="6"/>
        <color rgb="FF000000"/>
        <rFont val="Calibri"/>
        <family val="2"/>
        <scheme val="minor"/>
      </rPr>
      <t xml:space="preserve"> part)</t>
    </r>
  </si>
  <si>
    <r>
      <t xml:space="preserve">Principal / </t>
    </r>
    <r>
      <rPr>
        <b/>
        <sz val="11"/>
        <color rgb="FFFF0000"/>
        <rFont val="Calibri"/>
        <family val="2"/>
        <scheme val="minor"/>
      </rPr>
      <t>Task</t>
    </r>
  </si>
  <si>
    <t>If amount is less than 5000, discount will be 10% and if Amount is greater than 5000, discount will be 20%. Find the amount.</t>
  </si>
  <si>
    <t>IFS</t>
  </si>
  <si>
    <r>
      <t>IFS(</t>
    </r>
    <r>
      <rPr>
        <sz val="10"/>
        <color rgb="FF0000FF"/>
        <rFont val="Calibri"/>
        <family val="2"/>
        <scheme val="minor"/>
      </rPr>
      <t>Cond-1</t>
    </r>
    <r>
      <rPr>
        <sz val="10"/>
        <color theme="1"/>
        <rFont val="Calibri"/>
        <family val="2"/>
        <scheme val="minor"/>
      </rPr>
      <t>, "</t>
    </r>
    <r>
      <rPr>
        <sz val="10"/>
        <color rgb="FF00A29E"/>
        <rFont val="Calibri"/>
        <family val="2"/>
        <scheme val="minor"/>
      </rPr>
      <t>Res-1</t>
    </r>
    <r>
      <rPr>
        <sz val="10"/>
        <color theme="1"/>
        <rFont val="Calibri"/>
        <family val="2"/>
        <scheme val="minor"/>
      </rPr>
      <t xml:space="preserve">", </t>
    </r>
    <r>
      <rPr>
        <sz val="10"/>
        <color rgb="FF0000FF"/>
        <rFont val="Calibri"/>
        <family val="2"/>
        <scheme val="minor"/>
      </rPr>
      <t>Cond-2</t>
    </r>
    <r>
      <rPr>
        <sz val="10"/>
        <color theme="1"/>
        <rFont val="Calibri"/>
        <family val="2"/>
        <scheme val="minor"/>
      </rPr>
      <t>, "</t>
    </r>
    <r>
      <rPr>
        <sz val="10"/>
        <color rgb="FF00A29E"/>
        <rFont val="Calibri"/>
        <family val="2"/>
        <scheme val="minor"/>
      </rPr>
      <t>Res-2</t>
    </r>
    <r>
      <rPr>
        <sz val="10"/>
        <color theme="1"/>
        <rFont val="Calibri"/>
        <family val="2"/>
        <scheme val="minor"/>
      </rPr>
      <t>", …....)</t>
    </r>
  </si>
  <si>
    <t>Marks (%)</t>
  </si>
  <si>
    <t>Grade</t>
  </si>
  <si>
    <t>Distinction</t>
  </si>
  <si>
    <t>Fail</t>
  </si>
  <si>
    <t>Invalid Entry</t>
  </si>
  <si>
    <r>
      <t xml:space="preserve">Marks &gt;100 </t>
    </r>
    <r>
      <rPr>
        <b/>
        <sz val="9"/>
        <color rgb="FF0000FF"/>
        <rFont val="Calibri"/>
        <family val="2"/>
        <scheme val="minor"/>
      </rPr>
      <t>OR</t>
    </r>
    <r>
      <rPr>
        <sz val="9"/>
        <color theme="1"/>
        <rFont val="Calibri"/>
        <family val="2"/>
        <scheme val="minor"/>
      </rPr>
      <t xml:space="preserve"> &lt;0</t>
    </r>
  </si>
  <si>
    <t>Marks &gt;=75</t>
  </si>
  <si>
    <t>Marks &gt;=60</t>
  </si>
  <si>
    <t>First Class</t>
  </si>
  <si>
    <t>Marks &gt;=45</t>
  </si>
  <si>
    <t>Second Class</t>
  </si>
  <si>
    <t>Marks &gt;=30</t>
  </si>
  <si>
    <t>Third Class</t>
  </si>
  <si>
    <t>Marks &gt;=0</t>
  </si>
  <si>
    <t>Conditions</t>
  </si>
  <si>
    <t>Output</t>
  </si>
  <si>
    <t>AND</t>
  </si>
  <si>
    <t>OR</t>
  </si>
  <si>
    <r>
      <rPr>
        <b/>
        <sz val="9"/>
        <color theme="1"/>
        <rFont val="Calibri"/>
        <family val="2"/>
        <scheme val="minor"/>
      </rPr>
      <t>AND</t>
    </r>
    <r>
      <rPr>
        <sz val="9"/>
        <color theme="1"/>
        <rFont val="Calibri"/>
        <family val="2"/>
        <scheme val="minor"/>
      </rPr>
      <t>(Cond-1, Cond-2, Cond-3, ….)</t>
    </r>
  </si>
  <si>
    <r>
      <rPr>
        <b/>
        <sz val="9"/>
        <color theme="1"/>
        <rFont val="Calibri"/>
        <family val="2"/>
        <scheme val="minor"/>
      </rPr>
      <t>OR</t>
    </r>
    <r>
      <rPr>
        <sz val="9"/>
        <color theme="1"/>
        <rFont val="Calibri"/>
        <family val="2"/>
        <scheme val="minor"/>
      </rPr>
      <t>(Cond-1, Cond-2, Cond-3, ….)</t>
    </r>
  </si>
  <si>
    <t>NOT</t>
  </si>
  <si>
    <r>
      <rPr>
        <b/>
        <sz val="9"/>
        <color theme="1"/>
        <rFont val="Calibri"/>
        <family val="2"/>
        <scheme val="minor"/>
      </rPr>
      <t>NOT</t>
    </r>
    <r>
      <rPr>
        <sz val="9"/>
        <color theme="1"/>
        <rFont val="Calibri"/>
        <family val="2"/>
        <scheme val="minor"/>
      </rPr>
      <t>(Cond)</t>
    </r>
  </si>
  <si>
    <t>V-Lookup</t>
  </si>
  <si>
    <t>X-Lookup</t>
  </si>
  <si>
    <t>Index + Match</t>
  </si>
  <si>
    <t>Items</t>
  </si>
  <si>
    <t>Qty</t>
  </si>
  <si>
    <t>Rate</t>
  </si>
  <si>
    <t>Amount</t>
  </si>
  <si>
    <t>A</t>
  </si>
  <si>
    <t>B</t>
  </si>
  <si>
    <t>C</t>
  </si>
  <si>
    <t>D</t>
  </si>
  <si>
    <t>E</t>
  </si>
  <si>
    <t>P</t>
  </si>
  <si>
    <t>Q</t>
  </si>
  <si>
    <t>R</t>
  </si>
  <si>
    <t>S</t>
  </si>
  <si>
    <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</si>
</sst>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 #,##0.00;[Red]&quot;₹&quot;\ \-#,##0.00"/>
    <numFmt numFmtId="164" formatCode="_(* #,##0.00_);_(* \(#,##0.00\);_(* &quot;-&quot;??_);_(@_)"/>
  </numFmts>
  <fonts count="44"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11"/>
      <name val="Arial"/>
      <family val="2"/>
    </font>
    <font>
      <sz val="11"/>
      <color theme="1"/>
      <name val="Arial"/>
      <family val="2"/>
    </font>
    <font>
      <sz val="8"/>
      <name val="Calibri"/>
      <family val="2"/>
      <scheme val="minor"/>
    </font>
    <font>
      <b/>
      <sz val="11"/>
      <name val="Calibri"/>
      <family val="2"/>
      <scheme val="minor"/>
    </font>
    <font>
      <sz val="11"/>
      <name val="Calibri"/>
      <family val="2"/>
      <scheme val="minor"/>
    </font>
    <font>
      <b/>
      <sz val="11"/>
      <color rgb="FFFF0000"/>
      <name val="Calibri"/>
      <family val="2"/>
      <scheme val="minor"/>
    </font>
    <font>
      <b/>
      <sz val="16"/>
      <color rgb="FFFF0000"/>
      <name val="Calibri"/>
      <family val="2"/>
      <scheme val="minor"/>
    </font>
    <font>
      <b/>
      <sz val="11"/>
      <color rgb="FF00B050"/>
      <name val="Calibri"/>
      <family val="2"/>
      <scheme val="minor"/>
    </font>
    <font>
      <b/>
      <sz val="22"/>
      <color rgb="FF0000FF"/>
      <name val="Calibri"/>
      <family val="2"/>
      <scheme val="minor"/>
    </font>
    <font>
      <b/>
      <sz val="11"/>
      <color rgb="FF0000FF"/>
      <name val="Calibri"/>
      <family val="2"/>
      <scheme val="minor"/>
    </font>
    <font>
      <b/>
      <sz val="11"/>
      <color rgb="FF00A29E"/>
      <name val="Calibri"/>
      <family val="2"/>
      <scheme val="minor"/>
    </font>
    <font>
      <b/>
      <sz val="11"/>
      <color rgb="FFC00000"/>
      <name val="Calibri"/>
      <family val="2"/>
      <scheme val="minor"/>
    </font>
    <font>
      <sz val="11"/>
      <color rgb="FF00A29E"/>
      <name val="Calibri"/>
      <family val="2"/>
      <scheme val="minor"/>
    </font>
    <font>
      <b/>
      <sz val="12"/>
      <color theme="1"/>
      <name val="Calibri"/>
      <family val="2"/>
      <scheme val="minor"/>
    </font>
    <font>
      <sz val="10"/>
      <color rgb="FF0070C0"/>
      <name val="Calibri"/>
      <family val="2"/>
      <scheme val="minor"/>
    </font>
    <font>
      <b/>
      <sz val="10"/>
      <color rgb="FF0070C0"/>
      <name val="Calibri"/>
      <family val="2"/>
      <scheme val="minor"/>
    </font>
    <font>
      <sz val="11"/>
      <color rgb="FF0070C0"/>
      <name val="Calibri"/>
      <family val="2"/>
      <scheme val="minor"/>
    </font>
    <font>
      <sz val="11"/>
      <color rgb="FFFF0000"/>
      <name val="Calibri"/>
      <family val="2"/>
      <scheme val="minor"/>
    </font>
    <font>
      <b/>
      <sz val="11"/>
      <color theme="1"/>
      <name val="Calibri"/>
      <family val="2"/>
    </font>
    <font>
      <sz val="11"/>
      <color rgb="FF0000FF"/>
      <name val="Calibri"/>
      <family val="2"/>
      <scheme val="minor"/>
    </font>
    <font>
      <sz val="11"/>
      <color rgb="FF00B050"/>
      <name val="Calibri"/>
      <family val="2"/>
      <scheme val="minor"/>
    </font>
    <font>
      <sz val="11"/>
      <name val="Calibri"/>
      <family val="2"/>
    </font>
    <font>
      <b/>
      <sz val="11"/>
      <name val="Arial"/>
      <family val="2"/>
    </font>
    <font>
      <b/>
      <sz val="11"/>
      <color theme="1"/>
      <name val="Arial"/>
      <family val="2"/>
    </font>
    <font>
      <sz val="10"/>
      <color theme="1"/>
      <name val="Calibri"/>
      <family val="2"/>
      <scheme val="minor"/>
    </font>
    <font>
      <sz val="9"/>
      <color theme="1"/>
      <name val="Calibri"/>
      <family val="2"/>
      <scheme val="minor"/>
    </font>
    <font>
      <b/>
      <sz val="9"/>
      <color theme="1"/>
      <name val="Calibri"/>
      <family val="2"/>
      <scheme val="minor"/>
    </font>
    <font>
      <sz val="8"/>
      <color theme="1"/>
      <name val="Calibri"/>
      <family val="2"/>
      <scheme val="minor"/>
    </font>
    <font>
      <b/>
      <sz val="8"/>
      <color theme="1"/>
      <name val="Calibri"/>
      <family val="2"/>
      <scheme val="minor"/>
    </font>
    <font>
      <sz val="8"/>
      <color rgb="FF00B050"/>
      <name val="Calibri"/>
      <family val="2"/>
      <scheme val="minor"/>
    </font>
    <font>
      <sz val="8"/>
      <color rgb="FFFF0000"/>
      <name val="Calibri"/>
      <family val="2"/>
      <scheme val="minor"/>
    </font>
    <font>
      <sz val="6"/>
      <color rgb="FF000000"/>
      <name val="Calibri"/>
      <family val="2"/>
      <scheme val="minor"/>
    </font>
    <font>
      <b/>
      <sz val="6"/>
      <color rgb="FF548135"/>
      <name val="Calibri"/>
      <family val="2"/>
      <scheme val="minor"/>
    </font>
    <font>
      <b/>
      <sz val="6"/>
      <color rgb="FF000000"/>
      <name val="Calibri"/>
      <family val="2"/>
      <scheme val="minor"/>
    </font>
    <font>
      <b/>
      <sz val="6"/>
      <color rgb="FF00B050"/>
      <name val="Calibri"/>
      <family val="2"/>
      <scheme val="minor"/>
    </font>
    <font>
      <b/>
      <sz val="6"/>
      <color rgb="FFCD0FD7"/>
      <name val="Calibri"/>
      <family val="2"/>
      <scheme val="minor"/>
    </font>
    <font>
      <b/>
      <sz val="6"/>
      <color rgb="FFFF0000"/>
      <name val="Calibri"/>
      <family val="2"/>
      <scheme val="minor"/>
    </font>
    <font>
      <sz val="10"/>
      <color rgb="FF0000FF"/>
      <name val="Calibri"/>
      <family val="2"/>
      <scheme val="minor"/>
    </font>
    <font>
      <sz val="10"/>
      <color rgb="FF00A29E"/>
      <name val="Calibri"/>
      <family val="2"/>
      <scheme val="minor"/>
    </font>
    <font>
      <b/>
      <sz val="9"/>
      <color rgb="FF0000FF"/>
      <name val="Calibri"/>
      <family val="2"/>
      <scheme val="minor"/>
    </font>
  </fonts>
  <fills count="21">
    <fill>
      <patternFill patternType="none"/>
    </fill>
    <fill>
      <patternFill patternType="gray125"/>
    </fill>
    <fill>
      <patternFill patternType="solid">
        <fgColor theme="8" tint="0.79998168889431442"/>
        <bgColor indexed="64"/>
      </patternFill>
    </fill>
    <fill>
      <patternFill patternType="solid">
        <fgColor theme="7" tint="0.59999389629810485"/>
        <bgColor indexed="64"/>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rgb="FFFFFF00"/>
        <bgColor indexed="64"/>
      </patternFill>
    </fill>
    <fill>
      <patternFill patternType="solid">
        <fgColor rgb="FF66FFFF"/>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rgb="FFFFE7FF"/>
        <bgColor indexed="64"/>
      </patternFill>
    </fill>
    <fill>
      <patternFill patternType="solid">
        <fgColor rgb="FF92D050"/>
        <bgColor indexed="64"/>
      </patternFill>
    </fill>
    <fill>
      <patternFill patternType="solid">
        <fgColor theme="5" tint="0.79998168889431442"/>
        <bgColor indexed="64"/>
      </patternFill>
    </fill>
    <fill>
      <patternFill patternType="solid">
        <fgColor rgb="FF6CF894"/>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FFC000"/>
        <bgColor indexed="64"/>
      </patternFill>
    </fill>
    <fill>
      <patternFill patternType="solid">
        <fgColor rgb="FFA7FFFF"/>
        <bgColor indexed="64"/>
      </patternFill>
    </fill>
    <fill>
      <patternFill patternType="solid">
        <fgColor rgb="FFFFFFCC"/>
        <bgColor indexed="64"/>
      </patternFill>
    </fill>
    <fill>
      <patternFill patternType="solid">
        <fgColor rgb="FFFFCCFF"/>
        <bgColor indexed="64"/>
      </patternFill>
    </fill>
    <fill>
      <patternFill patternType="solid">
        <fgColor theme="9"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s>
  <cellStyleXfs count="2">
    <xf numFmtId="0" fontId="0" fillId="0" borderId="0"/>
    <xf numFmtId="164" fontId="1" fillId="0" borderId="0" applyFont="0" applyFill="0" applyBorder="0" applyAlignment="0" applyProtection="0"/>
  </cellStyleXfs>
  <cellXfs count="157">
    <xf numFmtId="0" fontId="0" fillId="0" borderId="0" xfId="0"/>
    <xf numFmtId="164" fontId="3" fillId="0" borderId="1" xfId="1" applyFont="1" applyFill="1" applyBorder="1" applyAlignment="1">
      <alignment horizontal="right" vertical="center"/>
    </xf>
    <xf numFmtId="0" fontId="2" fillId="2" borderId="1" xfId="0" applyFont="1" applyFill="1" applyBorder="1" applyAlignment="1">
      <alignment horizontal="center" vertical="center"/>
    </xf>
    <xf numFmtId="14" fontId="2" fillId="2" borderId="1" xfId="0" applyNumberFormat="1" applyFont="1" applyFill="1" applyBorder="1" applyAlignment="1">
      <alignment horizontal="center" vertical="center"/>
    </xf>
    <xf numFmtId="0" fontId="0" fillId="0" borderId="0" xfId="0" applyAlignment="1">
      <alignment horizontal="center"/>
    </xf>
    <xf numFmtId="0" fontId="2" fillId="3" borderId="1" xfId="0" applyFont="1" applyFill="1" applyBorder="1" applyAlignment="1">
      <alignment horizontal="center" vertical="center" wrapText="1"/>
    </xf>
    <xf numFmtId="164" fontId="3" fillId="0" borderId="1" xfId="1" applyFont="1" applyFill="1" applyBorder="1" applyAlignment="1">
      <alignment horizontal="left" vertical="center"/>
    </xf>
    <xf numFmtId="0" fontId="0" fillId="0" borderId="1" xfId="0" applyBorder="1" applyAlignment="1">
      <alignment horizontal="center"/>
    </xf>
    <xf numFmtId="14" fontId="3" fillId="0" borderId="1" xfId="0" applyNumberFormat="1" applyFont="1" applyBorder="1" applyAlignment="1">
      <alignment horizontal="center" vertical="center"/>
    </xf>
    <xf numFmtId="0" fontId="3" fillId="0" borderId="1" xfId="0" applyFont="1" applyBorder="1" applyAlignment="1">
      <alignment vertical="center"/>
    </xf>
    <xf numFmtId="0" fontId="4" fillId="0" borderId="1" xfId="0" applyFont="1" applyBorder="1"/>
    <xf numFmtId="0" fontId="5" fillId="0" borderId="1" xfId="0" applyFont="1" applyBorder="1" applyAlignment="1">
      <alignment vertical="top" wrapText="1"/>
    </xf>
    <xf numFmtId="1" fontId="5" fillId="0" borderId="1" xfId="0" applyNumberFormat="1" applyFont="1" applyBorder="1" applyAlignment="1">
      <alignment horizontal="center" vertical="top" wrapText="1"/>
    </xf>
    <xf numFmtId="164" fontId="0" fillId="0" borderId="1" xfId="0" applyNumberFormat="1" applyBorder="1"/>
    <xf numFmtId="0" fontId="3" fillId="0" borderId="1" xfId="0" applyFont="1" applyBorder="1" applyAlignment="1">
      <alignment horizontal="left" vertical="center"/>
    </xf>
    <xf numFmtId="1" fontId="3" fillId="0" borderId="1" xfId="0" applyNumberFormat="1" applyFont="1" applyBorder="1" applyAlignment="1">
      <alignment horizontal="center" vertical="center"/>
    </xf>
    <xf numFmtId="0" fontId="4" fillId="0" borderId="1" xfId="0" applyFont="1" applyBorder="1" applyAlignment="1">
      <alignment vertical="top"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horizontal="center"/>
    </xf>
    <xf numFmtId="164" fontId="0" fillId="0" borderId="3" xfId="0" applyNumberFormat="1" applyBorder="1"/>
    <xf numFmtId="0" fontId="2" fillId="2" borderId="4" xfId="0" applyFont="1" applyFill="1" applyBorder="1" applyAlignment="1">
      <alignment horizontal="center" vertical="center"/>
    </xf>
    <xf numFmtId="14"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7" xfId="0" applyBorder="1" applyAlignment="1">
      <alignment horizontal="center"/>
    </xf>
    <xf numFmtId="14" fontId="3" fillId="0" borderId="8" xfId="0" applyNumberFormat="1" applyFont="1" applyBorder="1" applyAlignment="1">
      <alignment horizontal="center" vertical="center"/>
    </xf>
    <xf numFmtId="0" fontId="3" fillId="0" borderId="8" xfId="0" applyFont="1" applyBorder="1" applyAlignment="1">
      <alignment vertical="center"/>
    </xf>
    <xf numFmtId="0" fontId="4" fillId="0" borderId="8" xfId="0" applyFont="1" applyBorder="1"/>
    <xf numFmtId="0" fontId="5" fillId="0" borderId="8" xfId="0" applyFont="1" applyBorder="1" applyAlignment="1">
      <alignment vertical="top" wrapText="1"/>
    </xf>
    <xf numFmtId="0" fontId="3" fillId="0" borderId="8" xfId="0" applyFont="1" applyBorder="1" applyAlignment="1">
      <alignment horizontal="left" vertical="center"/>
    </xf>
    <xf numFmtId="1" fontId="3" fillId="0" borderId="8" xfId="0" applyNumberFormat="1" applyFont="1" applyBorder="1" applyAlignment="1">
      <alignment horizontal="center" vertical="center"/>
    </xf>
    <xf numFmtId="164" fontId="3" fillId="0" borderId="8" xfId="1" applyFont="1" applyFill="1" applyBorder="1" applyAlignment="1">
      <alignment horizontal="left" vertical="center"/>
    </xf>
    <xf numFmtId="164" fontId="0" fillId="0" borderId="9" xfId="0" applyNumberFormat="1" applyBorder="1"/>
    <xf numFmtId="164" fontId="0" fillId="0" borderId="0" xfId="0" applyNumberFormat="1"/>
    <xf numFmtId="0" fontId="8" fillId="0" borderId="9" xfId="0" applyFont="1" applyBorder="1" applyAlignment="1">
      <alignment horizontal="center" vertical="center" wrapText="1"/>
    </xf>
    <xf numFmtId="14" fontId="8" fillId="0" borderId="9" xfId="0" applyNumberFormat="1" applyFont="1" applyBorder="1" applyAlignment="1">
      <alignment horizontal="center" vertical="center" wrapText="1"/>
    </xf>
    <xf numFmtId="0" fontId="8" fillId="0" borderId="9" xfId="0" applyFont="1" applyBorder="1" applyAlignment="1">
      <alignment vertical="center" wrapText="1"/>
    </xf>
    <xf numFmtId="0" fontId="8" fillId="0" borderId="10" xfId="0" applyFont="1" applyBorder="1" applyAlignment="1">
      <alignment horizontal="center" vertical="center" wrapText="1"/>
    </xf>
    <xf numFmtId="0" fontId="7" fillId="0" borderId="0" xfId="0" applyFont="1" applyAlignment="1">
      <alignment horizontal="center" vertical="center" wrapText="1"/>
    </xf>
    <xf numFmtId="0" fontId="7" fillId="0" borderId="11" xfId="0" applyFont="1" applyBorder="1" applyAlignment="1">
      <alignment horizontal="center" vertical="center" wrapText="1"/>
    </xf>
    <xf numFmtId="0" fontId="2" fillId="0" borderId="4" xfId="0" applyFont="1" applyBorder="1" applyAlignment="1">
      <alignment horizontal="center" vertical="center"/>
    </xf>
    <xf numFmtId="14" fontId="2" fillId="0" borderId="5" xfId="0" applyNumberFormat="1"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xf numFmtId="164" fontId="2" fillId="6" borderId="1" xfId="0" applyNumberFormat="1" applyFont="1" applyFill="1" applyBorder="1"/>
    <xf numFmtId="0" fontId="0" fillId="0" borderId="1" xfId="0" applyBorder="1"/>
    <xf numFmtId="0" fontId="2" fillId="7" borderId="1" xfId="0" applyFont="1" applyFill="1" applyBorder="1"/>
    <xf numFmtId="164" fontId="2" fillId="7" borderId="1" xfId="1" applyFont="1" applyFill="1" applyBorder="1"/>
    <xf numFmtId="0" fontId="3" fillId="4" borderId="1" xfId="0" applyFont="1" applyFill="1" applyBorder="1" applyAlignment="1">
      <alignment vertical="center"/>
    </xf>
    <xf numFmtId="0" fontId="3" fillId="5" borderId="1" xfId="0" applyFont="1" applyFill="1" applyBorder="1" applyAlignment="1">
      <alignment vertical="center"/>
    </xf>
    <xf numFmtId="14" fontId="0" fillId="0" borderId="1" xfId="0" applyNumberFormat="1" applyBorder="1" applyAlignment="1">
      <alignment horizontal="center"/>
    </xf>
    <xf numFmtId="0" fontId="2" fillId="0" borderId="1" xfId="0" applyFont="1" applyBorder="1" applyAlignment="1">
      <alignment horizontal="center"/>
    </xf>
    <xf numFmtId="14" fontId="2" fillId="0" borderId="1" xfId="0" applyNumberFormat="1" applyFont="1" applyBorder="1" applyAlignment="1">
      <alignment horizontal="center"/>
    </xf>
    <xf numFmtId="0" fontId="2" fillId="8" borderId="1" xfId="0" applyFont="1" applyFill="1" applyBorder="1" applyAlignment="1">
      <alignment horizontal="center"/>
    </xf>
    <xf numFmtId="0" fontId="0" fillId="9" borderId="1" xfId="0" applyFill="1" applyBorder="1"/>
    <xf numFmtId="0" fontId="2" fillId="9" borderId="1" xfId="0" applyFont="1" applyFill="1" applyBorder="1"/>
    <xf numFmtId="0" fontId="0" fillId="10" borderId="1" xfId="0" applyFill="1" applyBorder="1"/>
    <xf numFmtId="0" fontId="9" fillId="0" borderId="0" xfId="0" applyFont="1"/>
    <xf numFmtId="0" fontId="9" fillId="9" borderId="0" xfId="0" applyFont="1" applyFill="1"/>
    <xf numFmtId="0" fontId="2" fillId="11" borderId="0" xfId="0" applyFont="1" applyFill="1" applyAlignment="1">
      <alignment horizontal="center"/>
    </xf>
    <xf numFmtId="0" fontId="10" fillId="9" borderId="0" xfId="0" applyFont="1" applyFill="1" applyAlignment="1">
      <alignment horizontal="center"/>
    </xf>
    <xf numFmtId="0" fontId="0" fillId="12" borderId="1" xfId="0" applyFill="1" applyBorder="1"/>
    <xf numFmtId="0" fontId="11" fillId="0" borderId="0" xfId="0" applyFont="1" applyAlignment="1">
      <alignment horizontal="center"/>
    </xf>
    <xf numFmtId="0" fontId="2" fillId="6" borderId="1" xfId="0" applyFont="1" applyFill="1" applyBorder="1" applyAlignment="1">
      <alignment horizontal="center"/>
    </xf>
    <xf numFmtId="0" fontId="3" fillId="0" borderId="0" xfId="0" applyFont="1" applyAlignment="1">
      <alignment horizontal="left" vertical="center"/>
    </xf>
    <xf numFmtId="0" fontId="0" fillId="0" borderId="0" xfId="0" pivotButton="1"/>
    <xf numFmtId="0" fontId="0" fillId="0" borderId="0" xfId="0" applyAlignment="1">
      <alignment horizontal="left"/>
    </xf>
    <xf numFmtId="0" fontId="2" fillId="6" borderId="0" xfId="0" applyFont="1" applyFill="1"/>
    <xf numFmtId="0" fontId="2" fillId="7" borderId="0" xfId="0" applyFont="1" applyFill="1" applyAlignment="1">
      <alignment horizontal="center"/>
    </xf>
    <xf numFmtId="0" fontId="0" fillId="0" borderId="1" xfId="0" applyBorder="1" applyAlignment="1">
      <alignment horizontal="left" vertical="center"/>
    </xf>
    <xf numFmtId="0" fontId="0" fillId="0" borderId="3" xfId="0" applyBorder="1" applyAlignment="1">
      <alignment horizontal="left" vertical="center"/>
    </xf>
    <xf numFmtId="0" fontId="0" fillId="0" borderId="2" xfId="0" applyBorder="1" applyAlignment="1">
      <alignment horizontal="left" vertical="center"/>
    </xf>
    <xf numFmtId="0" fontId="0" fillId="0" borderId="0" xfId="0" applyAlignment="1">
      <alignment horizontal="left" vertical="center"/>
    </xf>
    <xf numFmtId="0" fontId="2" fillId="14" borderId="1" xfId="0" applyFont="1" applyFill="1" applyBorder="1" applyAlignment="1">
      <alignment horizontal="left" vertical="center"/>
    </xf>
    <xf numFmtId="0" fontId="9" fillId="6" borderId="1" xfId="0" applyFont="1" applyFill="1" applyBorder="1" applyAlignment="1">
      <alignment horizontal="center" vertical="center"/>
    </xf>
    <xf numFmtId="0" fontId="2" fillId="13" borderId="1" xfId="0" applyFont="1" applyFill="1" applyBorder="1" applyAlignment="1">
      <alignment horizontal="left" vertical="center"/>
    </xf>
    <xf numFmtId="0" fontId="9" fillId="0" borderId="1" xfId="0" applyFont="1" applyBorder="1" applyAlignment="1">
      <alignment horizontal="center"/>
    </xf>
    <xf numFmtId="0" fontId="11" fillId="0" borderId="1" xfId="0" applyFont="1" applyBorder="1" applyAlignment="1">
      <alignment horizontal="center"/>
    </xf>
    <xf numFmtId="0" fontId="13" fillId="0" borderId="1" xfId="0" applyFont="1" applyBorder="1" applyAlignment="1">
      <alignment horizontal="center"/>
    </xf>
    <xf numFmtId="0" fontId="13" fillId="0" borderId="0" xfId="0" applyFont="1" applyAlignment="1">
      <alignment horizontal="center"/>
    </xf>
    <xf numFmtId="0" fontId="16" fillId="0" borderId="0" xfId="0" applyFont="1"/>
    <xf numFmtId="8" fontId="17" fillId="0" borderId="0" xfId="0" applyNumberFormat="1" applyFont="1"/>
    <xf numFmtId="10" fontId="0" fillId="0" borderId="1" xfId="0" applyNumberFormat="1" applyBorder="1"/>
    <xf numFmtId="0" fontId="9" fillId="6" borderId="0" xfId="0" applyFont="1" applyFill="1"/>
    <xf numFmtId="0" fontId="2" fillId="15" borderId="1" xfId="0" applyFont="1" applyFill="1" applyBorder="1" applyAlignment="1">
      <alignment horizontal="center"/>
    </xf>
    <xf numFmtId="0" fontId="13" fillId="15" borderId="1" xfId="0" applyFont="1" applyFill="1" applyBorder="1" applyAlignment="1">
      <alignment horizontal="center"/>
    </xf>
    <xf numFmtId="14" fontId="0" fillId="0" borderId="1" xfId="0" applyNumberFormat="1" applyBorder="1"/>
    <xf numFmtId="0" fontId="16" fillId="0" borderId="1" xfId="0" applyFont="1" applyBorder="1"/>
    <xf numFmtId="22" fontId="0" fillId="0" borderId="1" xfId="0" applyNumberFormat="1" applyBorder="1"/>
    <xf numFmtId="0" fontId="18" fillId="0" borderId="1" xfId="0" applyFont="1" applyBorder="1"/>
    <xf numFmtId="0" fontId="20" fillId="0" borderId="1" xfId="0" applyFont="1" applyBorder="1"/>
    <xf numFmtId="0" fontId="2" fillId="9" borderId="1" xfId="0" applyFont="1" applyFill="1" applyBorder="1" applyAlignment="1">
      <alignment horizontal="center"/>
    </xf>
    <xf numFmtId="0" fontId="2" fillId="6" borderId="1" xfId="0" applyFont="1" applyFill="1" applyBorder="1" applyAlignment="1">
      <alignment horizontal="center" vertical="center"/>
    </xf>
    <xf numFmtId="14" fontId="2" fillId="6" borderId="1" xfId="0" applyNumberFormat="1" applyFont="1" applyFill="1" applyBorder="1" applyAlignment="1">
      <alignment horizontal="center" vertical="center"/>
    </xf>
    <xf numFmtId="0" fontId="2" fillId="12" borderId="1" xfId="0" applyFont="1" applyFill="1" applyBorder="1" applyAlignment="1">
      <alignment horizontal="center"/>
    </xf>
    <xf numFmtId="0" fontId="0" fillId="7" borderId="1" xfId="0" applyFill="1" applyBorder="1"/>
    <xf numFmtId="0" fontId="0" fillId="3" borderId="1" xfId="0" applyFill="1" applyBorder="1"/>
    <xf numFmtId="0" fontId="0" fillId="13" borderId="1" xfId="0" applyFill="1" applyBorder="1"/>
    <xf numFmtId="1" fontId="25" fillId="0" borderId="1" xfId="0" applyNumberFormat="1" applyFont="1" applyBorder="1" applyAlignment="1">
      <alignment horizontal="center" vertical="center"/>
    </xf>
    <xf numFmtId="164" fontId="0" fillId="0" borderId="1" xfId="0" applyNumberFormat="1" applyBorder="1" applyAlignment="1">
      <alignment horizontal="center"/>
    </xf>
    <xf numFmtId="164" fontId="0" fillId="0" borderId="1" xfId="1" applyFont="1" applyBorder="1" applyAlignment="1">
      <alignment horizontal="center"/>
    </xf>
    <xf numFmtId="0" fontId="0" fillId="13" borderId="1" xfId="0" applyFill="1" applyBorder="1" applyAlignment="1">
      <alignment horizontal="center"/>
    </xf>
    <xf numFmtId="14" fontId="3" fillId="0" borderId="0" xfId="0" applyNumberFormat="1" applyFont="1" applyAlignment="1">
      <alignment horizontal="center" vertical="center"/>
    </xf>
    <xf numFmtId="0" fontId="22" fillId="7" borderId="1" xfId="0" applyFont="1" applyFill="1" applyBorder="1" applyAlignment="1">
      <alignment vertical="center"/>
    </xf>
    <xf numFmtId="0" fontId="26" fillId="7" borderId="1" xfId="0" applyFont="1" applyFill="1" applyBorder="1"/>
    <xf numFmtId="0" fontId="27" fillId="7" borderId="1" xfId="0" applyFont="1" applyFill="1" applyBorder="1" applyAlignment="1">
      <alignment vertical="top" wrapText="1"/>
    </xf>
    <xf numFmtId="0" fontId="22" fillId="7" borderId="1" xfId="0" applyFont="1" applyFill="1" applyBorder="1" applyAlignment="1">
      <alignment horizontal="left" vertical="center"/>
    </xf>
    <xf numFmtId="1" fontId="22" fillId="7" borderId="1" xfId="0" applyNumberFormat="1" applyFont="1" applyFill="1" applyBorder="1" applyAlignment="1">
      <alignment horizontal="center" vertical="center"/>
    </xf>
    <xf numFmtId="164" fontId="22" fillId="7" borderId="1" xfId="1" applyFont="1" applyFill="1" applyBorder="1" applyAlignment="1">
      <alignment horizontal="right" vertical="center"/>
    </xf>
    <xf numFmtId="164" fontId="2" fillId="7" borderId="1" xfId="0" applyNumberFormat="1" applyFont="1" applyFill="1" applyBorder="1"/>
    <xf numFmtId="164" fontId="22" fillId="7" borderId="1" xfId="1" applyFont="1" applyFill="1" applyBorder="1" applyAlignment="1">
      <alignment horizontal="left" vertical="center"/>
    </xf>
    <xf numFmtId="0" fontId="22" fillId="7" borderId="0" xfId="0" applyFont="1" applyFill="1" applyAlignment="1">
      <alignment vertical="center"/>
    </xf>
    <xf numFmtId="0" fontId="26" fillId="7" borderId="0" xfId="0" applyFont="1" applyFill="1" applyAlignment="1">
      <alignment vertical="top" wrapText="1"/>
    </xf>
    <xf numFmtId="0" fontId="27" fillId="7" borderId="0" xfId="0" applyFont="1" applyFill="1" applyAlignment="1">
      <alignment vertical="top" wrapText="1"/>
    </xf>
    <xf numFmtId="0" fontId="22" fillId="7" borderId="0" xfId="0" applyFont="1" applyFill="1" applyAlignment="1">
      <alignment horizontal="left" vertical="center"/>
    </xf>
    <xf numFmtId="1" fontId="22" fillId="7" borderId="0" xfId="0" applyNumberFormat="1" applyFont="1" applyFill="1" applyAlignment="1">
      <alignment horizontal="center" vertical="center"/>
    </xf>
    <xf numFmtId="164" fontId="22" fillId="7" borderId="0" xfId="1" applyFont="1" applyFill="1" applyBorder="1" applyAlignment="1">
      <alignment horizontal="left" vertical="center"/>
    </xf>
    <xf numFmtId="164" fontId="2" fillId="7" borderId="0" xfId="0" applyNumberFormat="1" applyFont="1" applyFill="1"/>
    <xf numFmtId="0" fontId="22" fillId="16" borderId="0" xfId="0" applyFont="1" applyFill="1" applyAlignment="1">
      <alignment vertical="center"/>
    </xf>
    <xf numFmtId="0" fontId="26" fillId="16" borderId="0" xfId="0" applyFont="1" applyFill="1" applyAlignment="1">
      <alignment vertical="top" wrapText="1"/>
    </xf>
    <xf numFmtId="0" fontId="27" fillId="16" borderId="0" xfId="0" applyFont="1" applyFill="1" applyAlignment="1">
      <alignment vertical="top" wrapText="1"/>
    </xf>
    <xf numFmtId="0" fontId="22" fillId="16" borderId="0" xfId="0" applyFont="1" applyFill="1" applyAlignment="1">
      <alignment horizontal="left" vertical="center"/>
    </xf>
    <xf numFmtId="1" fontId="22" fillId="16" borderId="0" xfId="0" applyNumberFormat="1" applyFont="1" applyFill="1" applyAlignment="1">
      <alignment horizontal="center" vertical="center"/>
    </xf>
    <xf numFmtId="164" fontId="22" fillId="16" borderId="0" xfId="1" applyFont="1" applyFill="1" applyBorder="1" applyAlignment="1">
      <alignment horizontal="left" vertical="center"/>
    </xf>
    <xf numFmtId="164" fontId="2" fillId="16" borderId="0" xfId="0" applyNumberFormat="1" applyFont="1" applyFill="1"/>
    <xf numFmtId="0" fontId="2" fillId="8" borderId="1" xfId="0" applyFont="1" applyFill="1" applyBorder="1" applyAlignment="1">
      <alignment horizontal="center" vertical="center"/>
    </xf>
    <xf numFmtId="0" fontId="2" fillId="8" borderId="1" xfId="0" applyFont="1" applyFill="1" applyBorder="1" applyAlignment="1">
      <alignment horizontal="center" vertical="center" wrapText="1"/>
    </xf>
    <xf numFmtId="0" fontId="0" fillId="0" borderId="0" xfId="0" applyAlignment="1">
      <alignment vertical="center"/>
    </xf>
    <xf numFmtId="0" fontId="0" fillId="0" borderId="1" xfId="0" applyBorder="1" applyAlignment="1">
      <alignment horizontal="center" vertical="center"/>
    </xf>
    <xf numFmtId="0" fontId="29"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0" fillId="17" borderId="1" xfId="0" applyFill="1" applyBorder="1" applyAlignment="1">
      <alignment horizontal="center" vertical="center"/>
    </xf>
    <xf numFmtId="0" fontId="35" fillId="0" borderId="1" xfId="0" applyFont="1" applyBorder="1" applyAlignment="1">
      <alignment horizontal="center" vertical="center" wrapText="1"/>
    </xf>
    <xf numFmtId="0" fontId="2" fillId="0" borderId="1" xfId="0" applyFont="1" applyBorder="1" applyAlignment="1">
      <alignment horizontal="center" vertical="center"/>
    </xf>
    <xf numFmtId="0" fontId="28"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0" fillId="17" borderId="1" xfId="0" applyFill="1" applyBorder="1" applyAlignment="1">
      <alignment horizontal="center" vertical="center" wrapText="1"/>
    </xf>
    <xf numFmtId="0" fontId="9" fillId="0" borderId="0" xfId="0" applyFont="1" applyAlignment="1">
      <alignment horizontal="center"/>
    </xf>
    <xf numFmtId="0" fontId="2" fillId="0" borderId="0" xfId="0" applyFont="1" applyAlignment="1">
      <alignment horizontal="center"/>
    </xf>
    <xf numFmtId="0" fontId="13" fillId="0" borderId="1" xfId="0" applyFont="1" applyBorder="1" applyAlignment="1">
      <alignment horizontal="center" vertical="center"/>
    </xf>
    <xf numFmtId="0" fontId="29" fillId="0" borderId="1" xfId="0" applyFont="1" applyBorder="1" applyAlignment="1">
      <alignment horizontal="center"/>
    </xf>
    <xf numFmtId="0" fontId="15" fillId="15" borderId="1" xfId="0" applyFont="1" applyFill="1" applyBorder="1" applyAlignment="1">
      <alignment horizontal="center"/>
    </xf>
    <xf numFmtId="0" fontId="2" fillId="7" borderId="1" xfId="0" applyFont="1" applyFill="1" applyBorder="1" applyAlignment="1">
      <alignment horizontal="center"/>
    </xf>
    <xf numFmtId="164" fontId="0" fillId="0" borderId="1" xfId="1" applyFont="1" applyBorder="1"/>
    <xf numFmtId="0" fontId="11" fillId="0" borderId="0" xfId="0" applyFont="1"/>
    <xf numFmtId="0" fontId="2" fillId="3" borderId="1" xfId="0" applyFont="1" applyFill="1" applyBorder="1" applyAlignment="1">
      <alignment horizontal="center"/>
    </xf>
    <xf numFmtId="0" fontId="2" fillId="20" borderId="1" xfId="0" applyFont="1" applyFill="1" applyBorder="1" applyAlignment="1">
      <alignment horizontal="center"/>
    </xf>
    <xf numFmtId="0" fontId="14" fillId="19" borderId="1" xfId="0" applyFont="1" applyFill="1" applyBorder="1" applyAlignment="1">
      <alignment horizontal="center"/>
    </xf>
    <xf numFmtId="0" fontId="14" fillId="3" borderId="1" xfId="0" applyFont="1" applyFill="1" applyBorder="1" applyAlignment="1">
      <alignment horizontal="center"/>
    </xf>
    <xf numFmtId="0" fontId="9" fillId="19" borderId="1" xfId="0" applyFont="1" applyFill="1" applyBorder="1" applyAlignment="1">
      <alignment horizontal="center"/>
    </xf>
    <xf numFmtId="0" fontId="9" fillId="3" borderId="1" xfId="0" applyFont="1" applyFill="1" applyBorder="1" applyAlignment="1">
      <alignment horizontal="center"/>
    </xf>
    <xf numFmtId="0" fontId="12" fillId="10" borderId="0" xfId="0" applyFont="1" applyFill="1" applyAlignment="1">
      <alignment horizontal="center" vertical="center"/>
    </xf>
    <xf numFmtId="0" fontId="14" fillId="0" borderId="12" xfId="0" applyFont="1" applyBorder="1" applyAlignment="1">
      <alignment horizontal="center"/>
    </xf>
    <xf numFmtId="0" fontId="9" fillId="18" borderId="1" xfId="0" applyFont="1" applyFill="1" applyBorder="1" applyAlignment="1">
      <alignment horizontal="center" wrapText="1"/>
    </xf>
  </cellXfs>
  <cellStyles count="2">
    <cellStyle name="Comma" xfId="1" builtinId="3"/>
    <cellStyle name="Normal" xfId="0" builtinId="0"/>
  </cellStyles>
  <dxfs count="42">
    <dxf>
      <fill>
        <gradientFill degree="90">
          <stop position="0">
            <color rgb="FFFFE7FF"/>
          </stop>
          <stop position="1">
            <color rgb="FF00FFFF"/>
          </stop>
        </gradientFill>
      </fill>
    </dxf>
    <dxf>
      <font>
        <b/>
        <i val="0"/>
        <color rgb="FF0000FF"/>
      </font>
      <fill>
        <patternFill>
          <bgColor theme="7" tint="0.79998168889431442"/>
        </patternFill>
      </fill>
      <border>
        <left style="thin">
          <color rgb="FFFF0000"/>
        </left>
        <right style="thin">
          <color rgb="FFFF0000"/>
        </right>
        <top style="thin">
          <color rgb="FFFF0000"/>
        </top>
        <bottom style="thin">
          <color rgb="FFFF0000"/>
        </bottom>
        <vertical/>
        <horizontal/>
      </border>
    </dxf>
    <dxf>
      <font>
        <b/>
        <i val="0"/>
        <color rgb="FFFF0000"/>
      </font>
    </dxf>
    <dxf>
      <font>
        <b/>
        <i val="0"/>
        <color rgb="FF00B050"/>
      </font>
      <fill>
        <patternFill>
          <bgColor theme="7" tint="0.79998168889431442"/>
        </patternFill>
      </fill>
    </dxf>
    <dxf>
      <numFmt numFmtId="164" formatCode="_(* #,##0.00_);_(* \(#,##0.00\);_(* &quot;-&quot;??_);_(@_)"/>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164" formatCode="_(* #,##0.00_);_(* \(#,##0.00\);_(*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00_);_(* \(#,##0.00\);_(* &quot;-&quot;??_);_(@_)"/>
      <fill>
        <patternFill patternType="none">
          <fgColor indexed="64"/>
          <bgColor indexed="65"/>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9" formatCode="dd/mm/yy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8"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00FF"/>
      <color rgb="FF00A29E"/>
      <color rgb="FF66FFFF"/>
      <color rgb="FFFFFFCC"/>
      <color rgb="FFA7FFFF"/>
      <color rgb="FFFFCCFF"/>
      <color rgb="FF6CF894"/>
      <color rgb="FFFFE7FF"/>
      <color rgb="FF00FFFF"/>
      <color rgb="FFE1B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microsoft.com/office/2007/relationships/slicerCache" Target="slicerCaches/slicerCache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1.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4.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microsoft.com/office/2007/relationships/slicerCache" Target="slicerCaches/slicerCache2.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5.xml"/><Relationship Id="rId38"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[Excel_Pract.xlsx]reg-w-sal!PivotTable6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wise Sales</a:t>
            </a:r>
          </a:p>
        </c:rich>
      </c:tx>
      <c:layout>
        <c:manualLayout>
          <c:xMode val="edge"/>
          <c:yMode val="edge"/>
          <c:x val="0.37607218513929414"/>
          <c:y val="4.70240621119964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solidFill>
              <a:srgbClr val="FF0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FFFF"/>
          </a:solidFill>
          <a:ln>
            <a:solidFill>
              <a:srgbClr val="FF0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A29E"/>
          </a:solidFill>
          <a:ln>
            <a:solidFill>
              <a:srgbClr val="FF0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'reg-w-sal'!$B$3:$B$4</c:f>
              <c:strCache>
                <c:ptCount val="1"/>
                <c:pt idx="0">
                  <c:v>Central</c:v>
                </c:pt>
              </c:strCache>
            </c:strRef>
          </c:tx>
          <c:spPr>
            <a:solidFill>
              <a:srgbClr val="00B050"/>
            </a:solidFill>
            <a:ln>
              <a:solidFill>
                <a:srgbClr val="FF0000"/>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'reg-w-sal'!$A$5</c:f>
              <c:strCache>
                <c:ptCount val="1"/>
                <c:pt idx="0">
                  <c:v>Total</c:v>
                </c:pt>
              </c:strCache>
            </c:strRef>
          </c:cat>
          <c:val>
            <c:numRef>
              <c:f>'reg-w-sal'!$B$5</c:f>
              <c:numCache>
                <c:formatCode>_(* #,##0.00_);_(* \(#,##0.00\);_(* "-"??_);_(@_)</c:formatCode>
                <c:ptCount val="1"/>
                <c:pt idx="0">
                  <c:v>266873</c:v>
                </c:pt>
              </c:numCache>
            </c:numRef>
          </c:val>
          <c:extLst>
            <c:ext xmlns:c16="http://schemas.microsoft.com/office/drawing/2014/chart" uri="{C3380CC4-5D6E-409C-BE32-E72D297353CC}">
              <c16:uniqueId val="{00000004-7030-4156-8AB3-D38F6598050C}"/>
            </c:ext>
          </c:extLst>
        </c:ser>
        <c:ser>
          <c:idx val="1"/>
          <c:order val="1"/>
          <c:tx>
            <c:strRef>
              <c:f>'reg-w-sal'!$C$3:$C$4</c:f>
              <c:strCache>
                <c:ptCount val="1"/>
                <c:pt idx="0">
                  <c:v>East</c:v>
                </c:pt>
              </c:strCache>
            </c:strRef>
          </c:tx>
          <c:spPr>
            <a:solidFill>
              <a:srgbClr val="00FFFF"/>
            </a:solidFill>
            <a:ln>
              <a:solidFill>
                <a:srgbClr val="FF0000"/>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'reg-w-sal'!$A$5</c:f>
              <c:strCache>
                <c:ptCount val="1"/>
                <c:pt idx="0">
                  <c:v>Total</c:v>
                </c:pt>
              </c:strCache>
            </c:strRef>
          </c:cat>
          <c:val>
            <c:numRef>
              <c:f>'reg-w-sal'!$C$5</c:f>
              <c:numCache>
                <c:formatCode>_(* #,##0.00_);_(* \(#,##0.00\);_(* "-"??_);_(@_)</c:formatCode>
                <c:ptCount val="1"/>
                <c:pt idx="0">
                  <c:v>173810</c:v>
                </c:pt>
              </c:numCache>
            </c:numRef>
          </c:val>
          <c:extLst>
            <c:ext xmlns:c16="http://schemas.microsoft.com/office/drawing/2014/chart" uri="{C3380CC4-5D6E-409C-BE32-E72D297353CC}">
              <c16:uniqueId val="{0000000A-7030-4156-8AB3-D38F6598050C}"/>
            </c:ext>
          </c:extLst>
        </c:ser>
        <c:ser>
          <c:idx val="2"/>
          <c:order val="2"/>
          <c:tx>
            <c:strRef>
              <c:f>'reg-w-sal'!$D$3:$D$4</c:f>
              <c:strCache>
                <c:ptCount val="1"/>
                <c:pt idx="0">
                  <c:v>West</c:v>
                </c:pt>
              </c:strCache>
            </c:strRef>
          </c:tx>
          <c:spPr>
            <a:solidFill>
              <a:srgbClr val="00A29E"/>
            </a:solidFill>
            <a:ln>
              <a:solidFill>
                <a:srgbClr val="FF0000"/>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'reg-w-sal'!$A$5</c:f>
              <c:strCache>
                <c:ptCount val="1"/>
                <c:pt idx="0">
                  <c:v>Total</c:v>
                </c:pt>
              </c:strCache>
            </c:strRef>
          </c:cat>
          <c:val>
            <c:numRef>
              <c:f>'reg-w-sal'!$D$5</c:f>
              <c:numCache>
                <c:formatCode>_(* #,##0.00_);_(* \(#,##0.00\);_(* "-"??_);_(@_)</c:formatCode>
                <c:ptCount val="1"/>
                <c:pt idx="0">
                  <c:v>105424</c:v>
                </c:pt>
              </c:numCache>
            </c:numRef>
          </c:val>
          <c:extLst>
            <c:ext xmlns:c16="http://schemas.microsoft.com/office/drawing/2014/chart" uri="{C3380CC4-5D6E-409C-BE32-E72D297353CC}">
              <c16:uniqueId val="{0000000B-7030-4156-8AB3-D38F6598050C}"/>
            </c:ext>
          </c:extLst>
        </c:ser>
        <c:dLbls>
          <c:dLblPos val="outEnd"/>
          <c:showLegendKey val="0"/>
          <c:showVal val="1"/>
          <c:showCatName val="0"/>
          <c:showSerName val="0"/>
          <c:showPercent val="0"/>
          <c:showBubbleSize val="0"/>
        </c:dLbls>
        <c:gapWidth val="100"/>
        <c:overlap val="-24"/>
        <c:axId val="1027038336"/>
        <c:axId val="1027038816"/>
      </c:barChart>
      <c:catAx>
        <c:axId val="1027038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7038816"/>
        <c:crosses val="autoZero"/>
        <c:auto val="1"/>
        <c:lblAlgn val="ctr"/>
        <c:lblOffset val="100"/>
        <c:noMultiLvlLbl val="0"/>
      </c:catAx>
      <c:valAx>
        <c:axId val="1027038816"/>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703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[Excel_Pract.xlsx]man-w-av-sal!PivotTable7</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solidFill>
                  <a:srgbClr val="FF0000"/>
                </a:solidFill>
              </a:rPr>
              <a:t>Manager wise avg sale</a:t>
            </a:r>
          </a:p>
        </c:rich>
      </c:tx>
      <c:layout>
        <c:manualLayout>
          <c:xMode val="edge"/>
          <c:yMode val="edge"/>
          <c:x val="0.29614814814814816"/>
          <c:y val="3.4295029527559057E-2"/>
        </c:manualLayout>
      </c:layout>
      <c:overlay val="0"/>
      <c:spPr>
        <a:solidFill>
          <a:srgbClr val="66FFFF"/>
        </a:solidFill>
        <a:ln>
          <a:noFill/>
        </a:ln>
        <a:effectLst/>
      </c:sp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
              <c:y val="5.078124999999985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8518518518518521E-2"/>
              <c:y val="-3.125000000000003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'man-w-av-sal'!$B$1</c:f>
              <c:strCache>
                <c:ptCount val="1"/>
                <c:pt idx="0">
                  <c:v>Total</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2F9B-457A-A413-D9D1D90BFB7D}"/>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F9B-457A-A413-D9D1D90BFB7D}"/>
              </c:ext>
            </c:extLst>
          </c:dPt>
          <c:dPt>
            <c:idx val="2"/>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2F9B-457A-A413-D9D1D90BFB7D}"/>
              </c:ext>
            </c:extLst>
          </c:dPt>
          <c:dPt>
            <c:idx val="3"/>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2F9B-457A-A413-D9D1D90BFB7D}"/>
              </c:ext>
            </c:extLst>
          </c:dPt>
          <c:dLbls>
            <c:dLbl>
              <c:idx val="0"/>
              <c:layout>
                <c:manualLayout>
                  <c:x val="-3.8518518518518521E-2"/>
                  <c:y val="-3.125000000000003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F9B-457A-A413-D9D1D90BFB7D}"/>
                </c:ext>
              </c:extLst>
            </c:dLbl>
            <c:dLbl>
              <c:idx val="1"/>
              <c:layout>
                <c:manualLayout>
                  <c:x val="0"/>
                  <c:y val="5.07812499999998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F9B-457A-A413-D9D1D90BFB7D}"/>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'man-w-av-sal'!$A$2:$A$6</c:f>
              <c:strCache>
                <c:ptCount val="4"/>
                <c:pt idx="0">
                  <c:v>Douglas</c:v>
                </c:pt>
                <c:pt idx="1">
                  <c:v>Hermann</c:v>
                </c:pt>
                <c:pt idx="2">
                  <c:v>Martha</c:v>
                </c:pt>
                <c:pt idx="3">
                  <c:v>Timothy</c:v>
                </c:pt>
              </c:strCache>
            </c:strRef>
          </c:cat>
          <c:val>
            <c:numRef>
              <c:f>'man-w-av-sal'!$B$2:$B$6</c:f>
              <c:numCache>
                <c:formatCode>_(* #,##0.00_);_(* \(#,##0.00\);_(* "-"??_);_(@_)</c:formatCode>
                <c:ptCount val="4"/>
                <c:pt idx="0">
                  <c:v>38336</c:v>
                </c:pt>
                <c:pt idx="1">
                  <c:v>56982.666666666664</c:v>
                </c:pt>
                <c:pt idx="2">
                  <c:v>65915</c:v>
                </c:pt>
                <c:pt idx="3">
                  <c:v>36581.5</c:v>
                </c:pt>
              </c:numCache>
            </c:numRef>
          </c:val>
          <c:extLst>
            <c:ext xmlns:c16="http://schemas.microsoft.com/office/drawing/2014/chart" uri="{C3380CC4-5D6E-409C-BE32-E72D297353CC}">
              <c16:uniqueId val="{00000000-2F9B-457A-A413-D9D1D90BFB7D}"/>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[Excel_Pract.xlsx]reg-w-sal!PivotTable6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wise Sales</a:t>
            </a:r>
          </a:p>
        </c:rich>
      </c:tx>
      <c:layout>
        <c:manualLayout>
          <c:xMode val="edge"/>
          <c:yMode val="edge"/>
          <c:x val="0.37607218513929414"/>
          <c:y val="4.70240621119964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solidFill>
              <a:srgbClr val="FF0000"/>
            </a:solid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FFFF"/>
          </a:solidFill>
          <a:ln>
            <a:solidFill>
              <a:srgbClr val="FF0000"/>
            </a:solid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A29E"/>
          </a:solidFill>
          <a:ln>
            <a:solidFill>
              <a:srgbClr val="FF0000"/>
            </a:solid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solidFill>
              <a:srgbClr val="FF0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FFFF"/>
          </a:solidFill>
          <a:ln>
            <a:solidFill>
              <a:srgbClr val="FF0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A29E"/>
          </a:solidFill>
          <a:ln>
            <a:solidFill>
              <a:srgbClr val="FF0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solidFill>
              <a:srgbClr val="FF0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FFFF"/>
          </a:solidFill>
          <a:ln>
            <a:solidFill>
              <a:srgbClr val="FF0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A29E"/>
          </a:solidFill>
          <a:ln>
            <a:solidFill>
              <a:srgbClr val="FF0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'reg-w-sal'!$B$3:$B$4</c:f>
              <c:strCache>
                <c:ptCount val="1"/>
                <c:pt idx="0">
                  <c:v>Central</c:v>
                </c:pt>
              </c:strCache>
            </c:strRef>
          </c:tx>
          <c:spPr>
            <a:solidFill>
              <a:srgbClr val="00B050"/>
            </a:solidFill>
            <a:ln>
              <a:solidFill>
                <a:srgbClr val="FF0000"/>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'reg-w-sal'!$A$5</c:f>
              <c:strCache>
                <c:ptCount val="1"/>
                <c:pt idx="0">
                  <c:v>Total</c:v>
                </c:pt>
              </c:strCache>
            </c:strRef>
          </c:cat>
          <c:val>
            <c:numRef>
              <c:f>'reg-w-sal'!$B$5</c:f>
              <c:numCache>
                <c:formatCode>_(* #,##0.00_);_(* \(#,##0.00\);_(* "-"??_);_(@_)</c:formatCode>
                <c:ptCount val="1"/>
                <c:pt idx="0">
                  <c:v>266873</c:v>
                </c:pt>
              </c:numCache>
            </c:numRef>
          </c:val>
          <c:extLst>
            <c:ext xmlns:c16="http://schemas.microsoft.com/office/drawing/2014/chart" uri="{C3380CC4-5D6E-409C-BE32-E72D297353CC}">
              <c16:uniqueId val="{00000000-4A55-41A7-BFE5-382106396853}"/>
            </c:ext>
          </c:extLst>
        </c:ser>
        <c:ser>
          <c:idx val="1"/>
          <c:order val="1"/>
          <c:tx>
            <c:strRef>
              <c:f>'reg-w-sal'!$C$3:$C$4</c:f>
              <c:strCache>
                <c:ptCount val="1"/>
                <c:pt idx="0">
                  <c:v>East</c:v>
                </c:pt>
              </c:strCache>
            </c:strRef>
          </c:tx>
          <c:spPr>
            <a:solidFill>
              <a:srgbClr val="00FFFF"/>
            </a:solidFill>
            <a:ln>
              <a:solidFill>
                <a:srgbClr val="FF0000"/>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'reg-w-sal'!$A$5</c:f>
              <c:strCache>
                <c:ptCount val="1"/>
                <c:pt idx="0">
                  <c:v>Total</c:v>
                </c:pt>
              </c:strCache>
            </c:strRef>
          </c:cat>
          <c:val>
            <c:numRef>
              <c:f>'reg-w-sal'!$C$5</c:f>
              <c:numCache>
                <c:formatCode>_(* #,##0.00_);_(* \(#,##0.00\);_(* "-"??_);_(@_)</c:formatCode>
                <c:ptCount val="1"/>
                <c:pt idx="0">
                  <c:v>173810</c:v>
                </c:pt>
              </c:numCache>
            </c:numRef>
          </c:val>
          <c:extLst>
            <c:ext xmlns:c16="http://schemas.microsoft.com/office/drawing/2014/chart" uri="{C3380CC4-5D6E-409C-BE32-E72D297353CC}">
              <c16:uniqueId val="{00000001-4A55-41A7-BFE5-382106396853}"/>
            </c:ext>
          </c:extLst>
        </c:ser>
        <c:ser>
          <c:idx val="2"/>
          <c:order val="2"/>
          <c:tx>
            <c:strRef>
              <c:f>'reg-w-sal'!$D$3:$D$4</c:f>
              <c:strCache>
                <c:ptCount val="1"/>
                <c:pt idx="0">
                  <c:v>West</c:v>
                </c:pt>
              </c:strCache>
            </c:strRef>
          </c:tx>
          <c:spPr>
            <a:solidFill>
              <a:srgbClr val="00A29E"/>
            </a:solidFill>
            <a:ln>
              <a:solidFill>
                <a:srgbClr val="FF0000"/>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'reg-w-sal'!$A$5</c:f>
              <c:strCache>
                <c:ptCount val="1"/>
                <c:pt idx="0">
                  <c:v>Total</c:v>
                </c:pt>
              </c:strCache>
            </c:strRef>
          </c:cat>
          <c:val>
            <c:numRef>
              <c:f>'reg-w-sal'!$D$5</c:f>
              <c:numCache>
                <c:formatCode>_(* #,##0.00_);_(* \(#,##0.00\);_(* "-"??_);_(@_)</c:formatCode>
                <c:ptCount val="1"/>
                <c:pt idx="0">
                  <c:v>105424</c:v>
                </c:pt>
              </c:numCache>
            </c:numRef>
          </c:val>
          <c:extLst>
            <c:ext xmlns:c16="http://schemas.microsoft.com/office/drawing/2014/chart" uri="{C3380CC4-5D6E-409C-BE32-E72D297353CC}">
              <c16:uniqueId val="{00000002-4A55-41A7-BFE5-382106396853}"/>
            </c:ext>
          </c:extLst>
        </c:ser>
        <c:dLbls>
          <c:dLblPos val="outEnd"/>
          <c:showLegendKey val="0"/>
          <c:showVal val="1"/>
          <c:showCatName val="0"/>
          <c:showSerName val="0"/>
          <c:showPercent val="0"/>
          <c:showBubbleSize val="0"/>
        </c:dLbls>
        <c:gapWidth val="100"/>
        <c:overlap val="-24"/>
        <c:axId val="1027038336"/>
        <c:axId val="1027038816"/>
      </c:barChart>
      <c:catAx>
        <c:axId val="1027038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7038816"/>
        <c:crosses val="autoZero"/>
        <c:auto val="1"/>
        <c:lblAlgn val="ctr"/>
        <c:lblOffset val="100"/>
        <c:noMultiLvlLbl val="0"/>
      </c:catAx>
      <c:valAx>
        <c:axId val="1027038816"/>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703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[Excel_Pract.xlsx]man-w-av-sal!PivotTable7</c:name>
    <c:fmtId val="1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solidFill>
                  <a:srgbClr val="FF0000"/>
                </a:solidFill>
              </a:rPr>
              <a:t>Manager wise avg sale</a:t>
            </a:r>
          </a:p>
        </c:rich>
      </c:tx>
      <c:layout>
        <c:manualLayout>
          <c:xMode val="edge"/>
          <c:yMode val="edge"/>
          <c:x val="0.29614814814814816"/>
          <c:y val="3.4295029527559057E-2"/>
        </c:manualLayout>
      </c:layout>
      <c:overlay val="0"/>
      <c:spPr>
        <a:solidFill>
          <a:srgbClr val="66FFFF"/>
        </a:solid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
              <c:y val="5.078124999999985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8518518518518521E-2"/>
              <c:y val="-3.125000000000003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8518518518518521E-2"/>
              <c:y val="-3.125000000000003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
              <c:y val="5.078124999999985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1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1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8518518518518521E-2"/>
              <c:y val="-3.125000000000003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
              <c:y val="5.078124999999985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'man-w-av-sal'!$B$1</c:f>
              <c:strCache>
                <c:ptCount val="1"/>
                <c:pt idx="0">
                  <c:v>Total</c:v>
                </c:pt>
              </c:strCache>
            </c:strRef>
          </c:tx>
          <c:dPt>
            <c:idx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B58-4ADA-B6D4-A60DCD66A90B}"/>
              </c:ext>
            </c:extLst>
          </c:dPt>
          <c:dPt>
            <c:idx val="1"/>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B58-4ADA-B6D4-A60DCD66A90B}"/>
              </c:ext>
            </c:extLst>
          </c:dPt>
          <c:dPt>
            <c:idx val="2"/>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DB58-4ADA-B6D4-A60DCD66A90B}"/>
              </c:ext>
            </c:extLst>
          </c:dPt>
          <c:dPt>
            <c:idx val="3"/>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DB58-4ADA-B6D4-A60DCD66A90B}"/>
              </c:ext>
            </c:extLst>
          </c:dPt>
          <c:dLbls>
            <c:dLbl>
              <c:idx val="0"/>
              <c:layout>
                <c:manualLayout>
                  <c:x val="-3.8518518518518521E-2"/>
                  <c:y val="-3.125000000000003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58-4ADA-B6D4-A60DCD66A90B}"/>
                </c:ext>
              </c:extLst>
            </c:dLbl>
            <c:dLbl>
              <c:idx val="1"/>
              <c:layout>
                <c:manualLayout>
                  <c:x val="0"/>
                  <c:y val="5.07812499999998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58-4ADA-B6D4-A60DCD66A90B}"/>
                </c:ext>
              </c:extLst>
            </c:dLbl>
            <c:dLbl>
              <c:idx val="2"/>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DB58-4ADA-B6D4-A60DCD66A90B}"/>
                </c:ext>
              </c:extLst>
            </c:dLbl>
            <c:dLbl>
              <c:idx val="3"/>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DB58-4ADA-B6D4-A60DCD66A90B}"/>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'man-w-av-sal'!$A$2:$A$6</c:f>
              <c:strCache>
                <c:ptCount val="4"/>
                <c:pt idx="0">
                  <c:v>Douglas</c:v>
                </c:pt>
                <c:pt idx="1">
                  <c:v>Hermann</c:v>
                </c:pt>
                <c:pt idx="2">
                  <c:v>Martha</c:v>
                </c:pt>
                <c:pt idx="3">
                  <c:v>Timothy</c:v>
                </c:pt>
              </c:strCache>
            </c:strRef>
          </c:cat>
          <c:val>
            <c:numRef>
              <c:f>'man-w-av-sal'!$B$2:$B$6</c:f>
              <c:numCache>
                <c:formatCode>_(* #,##0.00_);_(* \(#,##0.00\);_(* "-"??_);_(@_)</c:formatCode>
                <c:ptCount val="4"/>
                <c:pt idx="0">
                  <c:v>38336</c:v>
                </c:pt>
                <c:pt idx="1">
                  <c:v>56982.666666666664</c:v>
                </c:pt>
                <c:pt idx="2">
                  <c:v>65915</c:v>
                </c:pt>
                <c:pt idx="3">
                  <c:v>36581.5</c:v>
                </c:pt>
              </c:numCache>
            </c:numRef>
          </c:val>
          <c:extLst>
            <c:ext xmlns:c16="http://schemas.microsoft.com/office/drawing/2014/chart" uri="{C3380CC4-5D6E-409C-BE32-E72D297353CC}">
              <c16:uniqueId val="{00000008-DB58-4ADA-B6D4-A60DCD66A90B}"/>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141514</xdr:colOff>
      <xdr:row>6</xdr:row>
      <xdr:rowOff>161018</xdr:rowOff>
    </xdr:to>
    <mc:AlternateContent xmlns:mc="http://schemas.openxmlformats.org/markup-compatibility/2006" xmlns:sle15="http://schemas.microsoft.com/office/drawing/2012/slicer">
      <mc:Choice Requires="sle15">
        <xdr:graphicFrame macro="">
          <xdr:nvGraphicFramePr>
            <xdr:cNvPr id="5" name="Region">
              <a:extLst>
                <a:ext uri="{FF2B5EF4-FFF2-40B4-BE49-F238E27FC236}">
                  <a16:creationId xmlns:a16="http://schemas.microsoft.com/office/drawing/2014/main" id="{512068FC-8300-FBD9-D8DC-447E1E1B441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0"/>
              <a:ext cx="1831975" cy="124187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184149</xdr:colOff>
      <xdr:row>0</xdr:row>
      <xdr:rowOff>0</xdr:rowOff>
    </xdr:from>
    <xdr:to>
      <xdr:col>4</xdr:col>
      <xdr:colOff>238578</xdr:colOff>
      <xdr:row>6</xdr:row>
      <xdr:rowOff>152400</xdr:rowOff>
    </xdr:to>
    <mc:AlternateContent xmlns:mc="http://schemas.openxmlformats.org/markup-compatibility/2006" xmlns:sle15="http://schemas.microsoft.com/office/drawing/2012/slicer">
      <mc:Choice Requires="sle15">
        <xdr:graphicFrame macro="">
          <xdr:nvGraphicFramePr>
            <xdr:cNvPr id="6" name="Item">
              <a:extLst>
                <a:ext uri="{FF2B5EF4-FFF2-40B4-BE49-F238E27FC236}">
                  <a16:creationId xmlns:a16="http://schemas.microsoft.com/office/drawing/2014/main" id="{65BD0424-7623-9B00-4377-D8E1519A293A}"/>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868260" y="0"/>
              <a:ext cx="1828800" cy="123008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285296</xdr:colOff>
      <xdr:row>0</xdr:row>
      <xdr:rowOff>0</xdr:rowOff>
    </xdr:from>
    <xdr:to>
      <xdr:col>6</xdr:col>
      <xdr:colOff>336096</xdr:colOff>
      <xdr:row>6</xdr:row>
      <xdr:rowOff>152400</xdr:rowOff>
    </xdr:to>
    <mc:AlternateContent xmlns:mc="http://schemas.openxmlformats.org/markup-compatibility/2006" xmlns:sle15="http://schemas.microsoft.com/office/drawing/2012/slicer">
      <mc:Choice Requires="sle15">
        <xdr:graphicFrame macro="">
          <xdr:nvGraphicFramePr>
            <xdr:cNvPr id="7" name="Ship_Status">
              <a:extLst>
                <a:ext uri="{FF2B5EF4-FFF2-40B4-BE49-F238E27FC236}">
                  <a16:creationId xmlns:a16="http://schemas.microsoft.com/office/drawing/2014/main" id="{A7E2CC2C-1B39-1E1F-23DA-948E753B3867}"/>
                </a:ext>
              </a:extLst>
            </xdr:cNvPr>
            <xdr:cNvGraphicFramePr/>
          </xdr:nvGraphicFramePr>
          <xdr:xfrm>
            <a:off x="0" y="0"/>
            <a:ext cx="0" cy="0"/>
          </xdr:xfrm>
          <a:graphic>
            <a:graphicData uri="http://schemas.microsoft.com/office/drawing/2010/slicer">
              <sle:slicer xmlns:sle="http://schemas.microsoft.com/office/drawing/2010/slicer" name="Ship_Status"/>
            </a:graphicData>
          </a:graphic>
        </xdr:graphicFrame>
      </mc:Choice>
      <mc:Fallback xmlns="">
        <xdr:sp macro="" textlink="">
          <xdr:nvSpPr>
            <xdr:cNvPr id="0" name=""/>
            <xdr:cNvSpPr>
              <a:spLocks noTextEdit="1"/>
            </xdr:cNvSpPr>
          </xdr:nvSpPr>
          <xdr:spPr>
            <a:xfrm>
              <a:off x="3746953" y="0"/>
              <a:ext cx="1838325" cy="123008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973364</xdr:colOff>
      <xdr:row>7</xdr:row>
      <xdr:rowOff>114300</xdr:rowOff>
    </xdr:to>
    <mc:AlternateContent xmlns:mc="http://schemas.openxmlformats.org/markup-compatibility/2006" xmlns:sle15="http://schemas.microsoft.com/office/drawing/2012/slicer">
      <mc:Choice Requires="sle15">
        <xdr:graphicFrame macro="">
          <xdr:nvGraphicFramePr>
            <xdr:cNvPr id="2" name="Region 1">
              <a:extLst>
                <a:ext uri="{FF2B5EF4-FFF2-40B4-BE49-F238E27FC236}">
                  <a16:creationId xmlns:a16="http://schemas.microsoft.com/office/drawing/2014/main" id="{2DA4632F-3736-E312-D290-220FCCF168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0"/>
              <a:ext cx="1818190" cy="138982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1038225</xdr:colOff>
      <xdr:row>0</xdr:row>
      <xdr:rowOff>8164</xdr:rowOff>
    </xdr:from>
    <xdr:to>
      <xdr:col>3</xdr:col>
      <xdr:colOff>1016454</xdr:colOff>
      <xdr:row>7</xdr:row>
      <xdr:rowOff>106589</xdr:rowOff>
    </xdr:to>
    <mc:AlternateContent xmlns:mc="http://schemas.openxmlformats.org/markup-compatibility/2006" xmlns:sle15="http://schemas.microsoft.com/office/drawing/2012/slicer">
      <mc:Choice Requires="sle15">
        <xdr:graphicFrame macro="">
          <xdr:nvGraphicFramePr>
            <xdr:cNvPr id="3" name="Manager">
              <a:extLst>
                <a:ext uri="{FF2B5EF4-FFF2-40B4-BE49-F238E27FC236}">
                  <a16:creationId xmlns:a16="http://schemas.microsoft.com/office/drawing/2014/main" id="{24E36CA7-8311-A4A9-FF38-2FB2B9A8AC26}"/>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879876" y="11339"/>
              <a:ext cx="1831601" cy="136759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1078593</xdr:colOff>
      <xdr:row>0</xdr:row>
      <xdr:rowOff>15875</xdr:rowOff>
    </xdr:from>
    <xdr:to>
      <xdr:col>5</xdr:col>
      <xdr:colOff>674914</xdr:colOff>
      <xdr:row>7</xdr:row>
      <xdr:rowOff>122918</xdr:rowOff>
    </xdr:to>
    <mc:AlternateContent xmlns:mc="http://schemas.openxmlformats.org/markup-compatibility/2006" xmlns:sle15="http://schemas.microsoft.com/office/drawing/2012/slicer">
      <mc:Choice Requires="sle15">
        <xdr:graphicFrame macro="">
          <xdr:nvGraphicFramePr>
            <xdr:cNvPr id="4" name="Item 1">
              <a:extLst>
                <a:ext uri="{FF2B5EF4-FFF2-40B4-BE49-F238E27FC236}">
                  <a16:creationId xmlns:a16="http://schemas.microsoft.com/office/drawing/2014/main" id="{5D72C8BF-67E1-8443-3277-7C708D118E07}"/>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3767266" y="15875"/>
              <a:ext cx="1830693" cy="13857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234950</xdr:colOff>
      <xdr:row>0</xdr:row>
      <xdr:rowOff>158750</xdr:rowOff>
    </xdr:from>
    <xdr:to>
      <xdr:col>9</xdr:col>
      <xdr:colOff>342900</xdr:colOff>
      <xdr:row>18</xdr:row>
      <xdr:rowOff>25400</xdr:rowOff>
    </xdr:to>
    <xdr:graphicFrame macro="">
      <xdr:nvGraphicFramePr>
        <xdr:cNvPr id="2" name="Chart 1">
          <a:extLst>
            <a:ext uri="{FF2B5EF4-FFF2-40B4-BE49-F238E27FC236}">
              <a16:creationId xmlns:a16="http://schemas.microsoft.com/office/drawing/2014/main" id="{51F5D56E-6E9C-E0E8-2BC9-DD48868EB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463550</xdr:colOff>
      <xdr:row>1</xdr:row>
      <xdr:rowOff>6350</xdr:rowOff>
    </xdr:from>
    <xdr:to>
      <xdr:col>9</xdr:col>
      <xdr:colOff>444500</xdr:colOff>
      <xdr:row>17</xdr:row>
      <xdr:rowOff>0</xdr:rowOff>
    </xdr:to>
    <xdr:graphicFrame macro="">
      <xdr:nvGraphicFramePr>
        <xdr:cNvPr id="2" name="Chart 1">
          <a:extLst>
            <a:ext uri="{FF2B5EF4-FFF2-40B4-BE49-F238E27FC236}">
              <a16:creationId xmlns:a16="http://schemas.microsoft.com/office/drawing/2014/main" id="{BB42B170-978A-B57F-89E8-52477F8BD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12700</xdr:rowOff>
    </xdr:from>
    <xdr:to>
      <xdr:col>6</xdr:col>
      <xdr:colOff>476250</xdr:colOff>
      <xdr:row>15</xdr:row>
      <xdr:rowOff>171450</xdr:rowOff>
    </xdr:to>
    <xdr:graphicFrame macro="">
      <xdr:nvGraphicFramePr>
        <xdr:cNvPr id="2" name="Chart 1">
          <a:extLst>
            <a:ext uri="{FF2B5EF4-FFF2-40B4-BE49-F238E27FC236}">
              <a16:creationId xmlns:a16="http://schemas.microsoft.com/office/drawing/2014/main" id="{AC0805C4-CD02-41D7-9499-ACC38D0E1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127000</xdr:colOff>
      <xdr:row>2</xdr:row>
      <xdr:rowOff>19050</xdr:rowOff>
    </xdr:from>
    <xdr:to>
      <xdr:col>13</xdr:col>
      <xdr:colOff>596900</xdr:colOff>
      <xdr:row>15</xdr:row>
      <xdr:rowOff>158750</xdr:rowOff>
    </xdr:to>
    <xdr:graphicFrame macro="">
      <xdr:nvGraphicFramePr>
        <xdr:cNvPr id="3" name="Chart 2">
          <a:extLst>
            <a:ext uri="{FF2B5EF4-FFF2-40B4-BE49-F238E27FC236}">
              <a16:creationId xmlns:a16="http://schemas.microsoft.com/office/drawing/2014/main" id="{02FA3B84-20DC-43FE-A4A2-0FBE86A76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mtiyaz  A" refreshedDate="45937.654861574076" createdVersion="8" refreshedVersion="8" minRefreshableVersion="3" recordCount="10" xr:uid="{767BDBBC-F531-4EB8-B7EC-D1C43B58302C}">
  <cacheSource type="worksheet">
    <worksheetSource ref="A1:I11" sheet="Pivot"/>
  </cacheSource>
  <cacheFields count="9">
    <cacheField name="OrderID" numFmtId="0">
      <sharedItems containsSemiMixedTypes="0" containsString="0" containsNumber="1" containsInteger="1" minValue="1" maxValue="10"/>
    </cacheField>
    <cacheField name="OrderDate" numFmtId="14">
      <sharedItems containsSemiMixedTypes="0" containsNonDate="0" containsDate="1" containsString="0" minDate="2018-01-06T00:00:00" maxDate="2018-06-09T00:00:00"/>
    </cacheField>
    <cacheField name="Region" numFmtId="0">
      <sharedItems count="3">
        <s v="East"/>
        <s v="Central"/>
        <s v="West"/>
      </sharedItems>
    </cacheField>
    <cacheField name="Manager" numFmtId="0">
      <sharedItems count="4">
        <s v="Martha"/>
        <s v="Hermann"/>
        <s v="Timothy"/>
        <s v="Douglas"/>
      </sharedItems>
    </cacheField>
    <cacheField name="SalesMan" numFmtId="0">
      <sharedItems/>
    </cacheField>
    <cacheField name="Item" numFmtId="0">
      <sharedItems/>
    </cacheField>
    <cacheField name="Units" numFmtId="1">
      <sharedItems containsSemiMixedTypes="0" containsString="0" containsNumber="1" containsInteger="1" minValue="27" maxValue="95"/>
    </cacheField>
    <cacheField name="Unit_price" numFmtId="164">
      <sharedItems containsSemiMixedTypes="0" containsString="0" containsNumber="1" containsInteger="1" minValue="225" maxValue="1198"/>
    </cacheField>
    <cacheField name="Sale_amt" numFmtId="164">
      <sharedItems containsSemiMixedTypes="0" containsString="0" containsNumber="1" containsInteger="1" minValue="6075" maxValue="1138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d v="2018-01-06T00:00:00"/>
    <x v="0"/>
    <x v="0"/>
    <s v="Alexander"/>
    <s v="Television"/>
    <n v="95"/>
    <n v="1198"/>
    <n v="113810"/>
  </r>
  <r>
    <n v="2"/>
    <d v="2018-01-23T00:00:00"/>
    <x v="1"/>
    <x v="1"/>
    <s v="Shelli"/>
    <s v="Home Theater"/>
    <n v="50"/>
    <n v="400"/>
    <n v="20000"/>
  </r>
  <r>
    <n v="3"/>
    <d v="2018-02-09T00:00:00"/>
    <x v="1"/>
    <x v="1"/>
    <s v="Luis"/>
    <s v="Television"/>
    <n v="36"/>
    <n v="1198"/>
    <n v="43128"/>
  </r>
  <r>
    <n v="4"/>
    <d v="2018-02-26T00:00:00"/>
    <x v="1"/>
    <x v="2"/>
    <s v="David"/>
    <s v="Cell Phone"/>
    <n v="27"/>
    <n v="225"/>
    <n v="6075"/>
  </r>
  <r>
    <n v="5"/>
    <d v="2018-03-15T00:00:00"/>
    <x v="2"/>
    <x v="2"/>
    <s v="Stephen"/>
    <s v="Television"/>
    <n v="56"/>
    <n v="1198"/>
    <n v="67088"/>
  </r>
  <r>
    <n v="6"/>
    <d v="2018-04-01T00:00:00"/>
    <x v="0"/>
    <x v="0"/>
    <s v="Alexander"/>
    <s v="Home Theater"/>
    <n v="60"/>
    <n v="500"/>
    <n v="30000"/>
  </r>
  <r>
    <n v="7"/>
    <d v="2018-04-18T00:00:00"/>
    <x v="1"/>
    <x v="0"/>
    <s v="Steven"/>
    <s v="Television"/>
    <n v="75"/>
    <n v="1198"/>
    <n v="89850"/>
  </r>
  <r>
    <n v="8"/>
    <d v="2018-05-05T00:00:00"/>
    <x v="1"/>
    <x v="1"/>
    <s v="Luis"/>
    <s v="Television"/>
    <n v="90"/>
    <n v="1198"/>
    <n v="107820"/>
  </r>
  <r>
    <n v="9"/>
    <d v="2018-05-22T00:00:00"/>
    <x v="2"/>
    <x v="3"/>
    <s v="Michael"/>
    <s v="Television"/>
    <n v="32"/>
    <n v="1198"/>
    <n v="38336"/>
  </r>
  <r>
    <n v="10"/>
    <d v="2018-06-08T00:00:00"/>
    <x v="0"/>
    <x v="0"/>
    <s v="Alexander"/>
    <s v="Home Theater"/>
    <n v="60"/>
    <n v="500"/>
    <n v="3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4527A0-67A7-4D89-B669-AF0AD0B12F38}"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5" firstHeaderRow="1" firstDataRow="2" firstDataCol="1" rowPageCount="1" colPageCount="1"/>
  <pivotFields count="9">
    <pivotField showAll="0"/>
    <pivotField numFmtId="14" showAll="0"/>
    <pivotField axis="axisCol" showAll="0">
      <items count="4">
        <item x="1"/>
        <item x="0"/>
        <item x="2"/>
        <item t="default"/>
      </items>
    </pivotField>
    <pivotField axis="axisPage" multipleItemSelectionAllowed="1" showAll="0">
      <items count="5">
        <item x="3"/>
        <item x="1"/>
        <item x="0"/>
        <item x="2"/>
        <item t="default"/>
      </items>
    </pivotField>
    <pivotField showAll="0"/>
    <pivotField showAll="0"/>
    <pivotField numFmtId="1" showAll="0"/>
    <pivotField numFmtId="164" showAll="0"/>
    <pivotField dataField="1" numFmtId="164" showAll="0"/>
  </pivotFields>
  <rowItems count="1">
    <i/>
  </rowItems>
  <colFields count="1">
    <field x="2"/>
  </colFields>
  <colItems count="4">
    <i>
      <x/>
    </i>
    <i>
      <x v="1"/>
    </i>
    <i>
      <x v="2"/>
    </i>
    <i t="grand">
      <x/>
    </i>
  </colItems>
  <pageFields count="1">
    <pageField fld="3" hier="-1"/>
  </pageFields>
  <dataFields count="1">
    <dataField name="Sum of Sale_amt" fld="8" baseField="0" baseItem="0" numFmtId="164"/>
  </dataFields>
  <chartFormats count="6">
    <chartFormat chart="0" format="3" series="1">
      <pivotArea type="data" outline="0" fieldPosition="0">
        <references count="2">
          <reference field="4294967294" count="1" selected="0">
            <x v="0"/>
          </reference>
          <reference field="2" count="1" selected="0">
            <x v="0"/>
          </reference>
        </references>
      </pivotArea>
    </chartFormat>
    <chartFormat chart="0" format="4" series="1">
      <pivotArea type="data" outline="0" fieldPosition="0">
        <references count="2">
          <reference field="4294967294" count="1" selected="0">
            <x v="0"/>
          </reference>
          <reference field="2" count="1" selected="0">
            <x v="1"/>
          </reference>
        </references>
      </pivotArea>
    </chartFormat>
    <chartFormat chart="0" format="5" series="1">
      <pivotArea type="data" outline="0" fieldPosition="0">
        <references count="2">
          <reference field="4294967294" count="1" selected="0">
            <x v="0"/>
          </reference>
          <reference field="2" count="1" selected="0">
            <x v="2"/>
          </reference>
        </references>
      </pivotArea>
    </chartFormat>
    <chartFormat chart="5" format="9" series="1">
      <pivotArea type="data" outline="0" fieldPosition="0">
        <references count="2">
          <reference field="4294967294" count="1" selected="0">
            <x v="0"/>
          </reference>
          <reference field="2" count="1" selected="0">
            <x v="0"/>
          </reference>
        </references>
      </pivotArea>
    </chartFormat>
    <chartFormat chart="5" format="10" series="1">
      <pivotArea type="data" outline="0" fieldPosition="0">
        <references count="2">
          <reference field="4294967294" count="1" selected="0">
            <x v="0"/>
          </reference>
          <reference field="2" count="1" selected="0">
            <x v="1"/>
          </reference>
        </references>
      </pivotArea>
    </chartFormat>
    <chartFormat chart="5" format="11"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03E493-3E20-482F-AB06-9AEDCC7DFD04}"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6" firstHeaderRow="1" firstDataRow="1" firstDataCol="1"/>
  <pivotFields count="9">
    <pivotField showAll="0"/>
    <pivotField numFmtId="14" showAll="0"/>
    <pivotField showAll="0"/>
    <pivotField axis="axisRow" showAll="0">
      <items count="5">
        <item x="3"/>
        <item x="1"/>
        <item x="0"/>
        <item x="2"/>
        <item t="default"/>
      </items>
    </pivotField>
    <pivotField showAll="0"/>
    <pivotField showAll="0"/>
    <pivotField numFmtId="1" showAll="0"/>
    <pivotField numFmtId="164" showAll="0"/>
    <pivotField dataField="1" numFmtId="164" showAll="0"/>
  </pivotFields>
  <rowFields count="1">
    <field x="3"/>
  </rowFields>
  <rowItems count="5">
    <i>
      <x/>
    </i>
    <i>
      <x v="1"/>
    </i>
    <i>
      <x v="2"/>
    </i>
    <i>
      <x v="3"/>
    </i>
    <i t="grand">
      <x/>
    </i>
  </rowItems>
  <colItems count="1">
    <i/>
  </colItems>
  <dataFields count="1">
    <dataField name="Average of Sale_amt" fld="8" subtotal="average" baseField="0" baseItem="0" numFmtId="164"/>
  </dataFields>
  <chartFormats count="1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3" count="1" selected="0">
            <x v="1"/>
          </reference>
        </references>
      </pivotArea>
    </chartFormat>
    <chartFormat chart="0" format="6">
      <pivotArea type="data" outline="0" fieldPosition="0">
        <references count="2">
          <reference field="4294967294" count="1" selected="0">
            <x v="0"/>
          </reference>
          <reference field="3" count="1" selected="0">
            <x v="0"/>
          </reference>
        </references>
      </pivotArea>
    </chartFormat>
    <chartFormat chart="0" format="7">
      <pivotArea type="data" outline="0" fieldPosition="0">
        <references count="2">
          <reference field="4294967294" count="1" selected="0">
            <x v="0"/>
          </reference>
          <reference field="3" count="1" selected="0">
            <x v="2"/>
          </reference>
        </references>
      </pivotArea>
    </chartFormat>
    <chartFormat chart="0" format="8">
      <pivotArea type="data" outline="0" fieldPosition="0">
        <references count="2">
          <reference field="4294967294" count="1" selected="0">
            <x v="0"/>
          </reference>
          <reference field="3" count="1" selected="0">
            <x v="3"/>
          </reference>
        </references>
      </pivotArea>
    </chartFormat>
    <chartFormat chart="17" format="14" series="1">
      <pivotArea type="data" outline="0" fieldPosition="0">
        <references count="1">
          <reference field="4294967294" count="1" selected="0">
            <x v="0"/>
          </reference>
        </references>
      </pivotArea>
    </chartFormat>
    <chartFormat chart="17" format="15">
      <pivotArea type="data" outline="0" fieldPosition="0">
        <references count="2">
          <reference field="4294967294" count="1" selected="0">
            <x v="0"/>
          </reference>
          <reference field="3" count="1" selected="0">
            <x v="0"/>
          </reference>
        </references>
      </pivotArea>
    </chartFormat>
    <chartFormat chart="17" format="16">
      <pivotArea type="data" outline="0" fieldPosition="0">
        <references count="2">
          <reference field="4294967294" count="1" selected="0">
            <x v="0"/>
          </reference>
          <reference field="3" count="1" selected="0">
            <x v="1"/>
          </reference>
        </references>
      </pivotArea>
    </chartFormat>
    <chartFormat chart="17" format="17">
      <pivotArea type="data" outline="0" fieldPosition="0">
        <references count="2">
          <reference field="4294967294" count="1" selected="0">
            <x v="0"/>
          </reference>
          <reference field="3" count="1" selected="0">
            <x v="2"/>
          </reference>
        </references>
      </pivotArea>
    </chartFormat>
    <chartFormat chart="17" format="18">
      <pivotArea type="data" outline="0" fieldPosition="0">
        <references count="2">
          <reference field="4294967294" count="1" selected="0">
            <x v="0"/>
          </reference>
          <reference field="3" count="1" selected="0">
            <x v="3"/>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9E65B1-C318-452A-B076-854BFF97A55A}" sourceName="Region">
  <extLst>
    <x:ext xmlns:x15="http://schemas.microsoft.com/office/spreadsheetml/2010/11/main" uri="{2F2917AC-EB37-4324-AD4E-5DD8C200BD13}">
      <x15:tableSlicerCache tableId="2"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A39B8B57-DE58-4DCD-B222-5A25FBBB3B25}" sourceName="Item">
  <extLst>
    <x:ext xmlns:x15="http://schemas.microsoft.com/office/spreadsheetml/2010/11/main" uri="{2F2917AC-EB37-4324-AD4E-5DD8C200BD13}">
      <x15:tableSlicerCache tableId="2"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Status" xr10:uid="{155819AA-7895-42A8-91C0-F3D9A08ABBA9}" sourceName="Ship_Status">
  <extLst>
    <x:ext xmlns:x15="http://schemas.microsoft.com/office/spreadsheetml/2010/11/main" uri="{2F2917AC-EB37-4324-AD4E-5DD8C200BD13}">
      <x15:tableSlicerCache tableId="2"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09875BF-1567-43F2-B9EB-2E6392245D00}" sourceName="Region">
  <extLst>
    <x:ext xmlns:x15="http://schemas.microsoft.com/office/spreadsheetml/2010/11/main" uri="{2F2917AC-EB37-4324-AD4E-5DD8C200BD13}">
      <x15:tableSlicerCache tableId="3" column="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EA9F446A-8D9B-4EDC-A9C9-B2C18D2C6A9D}" sourceName="Manager">
  <extLst>
    <x:ext xmlns:x15="http://schemas.microsoft.com/office/spreadsheetml/2010/11/main" uri="{2F2917AC-EB37-4324-AD4E-5DD8C200BD13}">
      <x15:tableSlicerCache tableId="3"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E5A9155A-99F9-4E3F-ACEA-260E160AC4D5}" sourceName="Item">
  <extLst>
    <x:ext xmlns:x15="http://schemas.microsoft.com/office/spreadsheetml/2010/11/main" uri="{2F2917AC-EB37-4324-AD4E-5DD8C200BD13}">
      <x15:tableSlicerCache tableId="3"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699FF1A-6CE0-4F00-B16A-A0D4BD25B453}" cache="Slicer_Region" caption="Region" style="SlicerStyleDark6" rowHeight="241300"/>
  <slicer name="Item" xr10:uid="{3A811004-BEEA-4454-BFB5-FF67FC4FC2A1}" cache="Slicer_Item" caption="Item" style="SlicerStyleDark2" rowHeight="241300"/>
  <slicer name="Ship_Status" xr10:uid="{993A239B-BDC4-4F9D-997F-0D70932BCDC7}" cache="Slicer_Ship_Status" caption="Ship_Status"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6C9D2E4-BEA1-4D63-A8FC-5059067F997D}" cache="Slicer_Region1" caption="Region" style="SlicerStyleDark6" rowHeight="241300"/>
  <slicer name="Manager" xr10:uid="{2BD03133-3C7C-4B71-98E5-7C91011046D5}" cache="Slicer_Manager" caption="Manager" style="SlicerStyleDark2" rowHeight="241300"/>
  <slicer name="Item 1" xr10:uid="{980F6714-90B3-48CD-8B3D-8E7E5307BB92}" cache="Slicer_Item1" caption="Item"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5A7320-2949-442E-8E11-24EA054EDAFD}" name="Table1" displayName="Table1" ref="A1:J11" totalsRowShown="0" headerRowDxfId="41" headerRowBorderDxfId="40" tableBorderDxfId="39" totalsRowBorderDxfId="38">
  <autoFilter ref="A1:J11" xr:uid="{BAF55E6E-15CA-42E7-85D6-568C3BCDF332}"/>
  <tableColumns count="10">
    <tableColumn id="1" xr3:uid="{5F9F6283-78C5-4BC6-BD7B-578A6F7DA4DC}" name="OrderID" dataDxfId="37"/>
    <tableColumn id="2" xr3:uid="{ECB9322E-051F-45EF-B8F7-EE8994EA158B}" name="OrderDate" dataDxfId="36"/>
    <tableColumn id="3" xr3:uid="{010BC70D-1F4B-4B4A-9628-F3EA43A2B772}" name="Region" dataDxfId="35"/>
    <tableColumn id="4" xr3:uid="{68E51C47-8B89-4460-94DE-8A42F098DC47}" name="Manager" dataDxfId="34"/>
    <tableColumn id="5" xr3:uid="{B9FE9DC9-4DE0-4489-A3FC-442AC9F95F4B}" name="SalesMan" dataDxfId="33"/>
    <tableColumn id="6" xr3:uid="{CC9A2C2B-10A0-4486-A713-2E5D75FEB28D}" name="Item" dataDxfId="32"/>
    <tableColumn id="7" xr3:uid="{E47DBE1E-233E-4E7C-B6FA-5E753F80F58B}" name="Units" dataDxfId="31"/>
    <tableColumn id="8" xr3:uid="{88F3E853-87D9-41D0-A676-B2252855E1AE}" name="Unit_price" dataDxfId="30" dataCellStyle="Comma"/>
    <tableColumn id="9" xr3:uid="{40FF2F01-84F0-493D-9718-04FA1D7C47F4}" name="Sale_amt" dataDxfId="29">
      <calculatedColumnFormula>G2*H2</calculatedColumnFormula>
    </tableColumn>
    <tableColumn id="10" xr3:uid="{F4BFB552-684D-4B23-86D8-6F222552E665}" name="15% of Sal amt" dataDxfId="28">
      <calculatedColumnFormula>Table1[[#This Row],[Sale_amt]]*15%</calculatedColumnFormula>
    </tableColumn>
  </tableColumns>
  <tableStyleInfo name="TableStyleMedium2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5821C6-AA11-4C77-8AB5-4DECCDF70D8B}" name="Table2" displayName="Table2" ref="A8:G18" totalsRowShown="0" headerRowDxfId="27" dataDxfId="26" tableBorderDxfId="25">
  <autoFilter ref="A8:G18" xr:uid="{F45821C6-AA11-4C77-8AB5-4DECCDF70D8B}"/>
  <tableColumns count="7">
    <tableColumn id="1" xr3:uid="{C920E9C3-4A08-4471-8B17-17D5BD0A64F2}" name="OrderID" dataDxfId="24"/>
    <tableColumn id="2" xr3:uid="{545C5FF9-87F0-4231-906D-20E24641B419}" name="OrderDate" dataDxfId="23"/>
    <tableColumn id="3" xr3:uid="{74ADD2F1-2308-4E0C-93D8-B7855EF3B92A}" name="Region" dataDxfId="22"/>
    <tableColumn id="4" xr3:uid="{9B05D057-3791-44A6-9685-708892ADF374}" name="Item" dataDxfId="21"/>
    <tableColumn id="5" xr3:uid="{E05534EC-5172-4A5F-B224-C95603EADCB5}" name="Ship_Status" dataDxfId="20"/>
    <tableColumn id="6" xr3:uid="{9D1F103A-D82C-41E1-A008-FA7BF53F8367}" name="Ship_ID" dataDxfId="19"/>
    <tableColumn id="7" xr3:uid="{9C746D9B-4629-41D0-9AF6-90F71FFD04A8}" name="Delivery_Date" dataDxfId="18"/>
  </tableColumns>
  <tableStyleInfo name="TableStyleMedium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691BD0-FB51-4525-88A5-37696522C909}" name="Table3" displayName="Table3" ref="A9:I19" totalsRowShown="0" headerRowDxfId="17" dataDxfId="15" headerRowBorderDxfId="16" tableBorderDxfId="14" totalsRowBorderDxfId="13">
  <autoFilter ref="A9:I19" xr:uid="{BAF55E6E-15CA-42E7-85D6-568C3BCDF332}"/>
  <tableColumns count="9">
    <tableColumn id="1" xr3:uid="{B19D7912-D4CF-4477-ACBD-DEB400FFD2A6}" name="OrderID" dataDxfId="12"/>
    <tableColumn id="2" xr3:uid="{0E33ECB1-A406-4F6C-B233-442E9A3287F4}" name="OrderDate" dataDxfId="11"/>
    <tableColumn id="3" xr3:uid="{82878259-4BA0-4780-A7B3-95D18558D5FF}" name="Region" dataDxfId="10"/>
    <tableColumn id="4" xr3:uid="{320573D2-BEB9-4A45-998B-EA02BAAAEC46}" name="Manager" dataDxfId="9"/>
    <tableColumn id="5" xr3:uid="{CDBC4C50-FC53-4628-B9FC-E4A1E8F21AF2}" name="SalesMan" dataDxfId="8"/>
    <tableColumn id="6" xr3:uid="{C3C5990A-2E95-4285-99C7-061BE5508C93}" name="Item" dataDxfId="7"/>
    <tableColumn id="7" xr3:uid="{F6100A09-EDC6-47DF-A11E-2CC65D7F08CC}" name="Units" dataDxfId="6"/>
    <tableColumn id="8" xr3:uid="{7CD8CE48-91BF-4D33-9C32-1853E9E7F01C}" name="Unit_price" dataDxfId="5" dataCellStyle="Comma"/>
    <tableColumn id="9" xr3:uid="{279957BF-9DAB-4C99-B25B-2AAA0C15A7E2}" name="Sale_amt" dataDxfId="4">
      <calculatedColumnFormula>G10*H10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4DE48B5-13BC-4447-B975-C95FA8C1ECCE}">
  <we:reference id="wa200005271" version="2.5.5.0" store="en-US"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3.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55E6E-15CA-42E7-85D6-568C3BCDF332}">
  <sheetPr codeName="Sheet1"/>
  <dimension ref="A1:I11"/>
  <sheetViews>
    <sheetView zoomScale="160" zoomScaleNormal="160" workbookViewId="0">
      <pane ySplit="1" topLeftCell="A3" activePane="bottomLeft" state="frozen"/>
      <selection pane="bottomLeft" activeCell="F25" sqref="F25"/>
    </sheetView>
  </sheetViews>
  <sheetFormatPr defaultRowHeight="14.5" x14ac:dyDescent="0.35"/>
  <cols>
    <col min="1" max="1" width="12.08984375" bestFit="1" customWidth="1"/>
    <col min="2" max="2" width="15.453125" customWidth="1"/>
    <col min="3" max="3" width="11" bestFit="1" customWidth="1"/>
    <col min="4" max="4" width="16.81640625" customWidth="1"/>
    <col min="5" max="5" width="15.1796875" customWidth="1"/>
    <col min="6" max="6" width="16.1796875" customWidth="1"/>
    <col min="7" max="7" width="9.7265625" bestFit="1" customWidth="1"/>
    <col min="8" max="9" width="13.81640625" customWidth="1"/>
    <col min="10" max="10" width="11.453125" customWidth="1"/>
    <col min="11" max="11" width="6.81640625" bestFit="1" customWidth="1"/>
    <col min="12" max="12" width="10.7265625" bestFit="1" customWidth="1"/>
  </cols>
  <sheetData>
    <row r="1" spans="1:9" x14ac:dyDescent="0.35">
      <c r="A1" s="95" t="s">
        <v>27</v>
      </c>
      <c r="B1" s="96" t="s">
        <v>0</v>
      </c>
      <c r="C1" s="95" t="s">
        <v>1</v>
      </c>
      <c r="D1" s="95" t="s">
        <v>2</v>
      </c>
      <c r="E1" s="95" t="s">
        <v>3</v>
      </c>
      <c r="F1" s="95" t="s">
        <v>4</v>
      </c>
      <c r="G1" s="95" t="s">
        <v>5</v>
      </c>
      <c r="H1" s="95" t="s">
        <v>6</v>
      </c>
      <c r="I1" s="95" t="s">
        <v>7</v>
      </c>
    </row>
    <row r="2" spans="1:9" x14ac:dyDescent="0.35">
      <c r="A2" s="7">
        <v>1</v>
      </c>
      <c r="B2" s="8">
        <v>43106</v>
      </c>
      <c r="C2" s="9" t="s">
        <v>8</v>
      </c>
      <c r="D2" s="10" t="s">
        <v>9</v>
      </c>
      <c r="E2" s="11" t="s">
        <v>10</v>
      </c>
      <c r="F2" s="11" t="s">
        <v>11</v>
      </c>
      <c r="G2" s="12">
        <v>95</v>
      </c>
      <c r="H2" s="1">
        <v>1198</v>
      </c>
      <c r="I2" s="13">
        <f>G2*H2</f>
        <v>113810</v>
      </c>
    </row>
    <row r="3" spans="1:9" x14ac:dyDescent="0.35">
      <c r="A3" s="7">
        <v>2</v>
      </c>
      <c r="B3" s="8">
        <v>43123</v>
      </c>
      <c r="C3" s="9" t="s">
        <v>12</v>
      </c>
      <c r="D3" s="10" t="s">
        <v>13</v>
      </c>
      <c r="E3" s="11" t="s">
        <v>14</v>
      </c>
      <c r="F3" s="14" t="s">
        <v>15</v>
      </c>
      <c r="G3" s="15">
        <v>50</v>
      </c>
      <c r="H3" s="1">
        <v>400</v>
      </c>
      <c r="I3" s="13">
        <f t="shared" ref="I3:I11" si="0">G3*H3</f>
        <v>20000</v>
      </c>
    </row>
    <row r="4" spans="1:9" x14ac:dyDescent="0.35">
      <c r="A4" s="7">
        <v>3</v>
      </c>
      <c r="B4" s="8">
        <v>43140</v>
      </c>
      <c r="C4" s="9" t="s">
        <v>12</v>
      </c>
      <c r="D4" s="10" t="s">
        <v>13</v>
      </c>
      <c r="E4" s="11" t="s">
        <v>16</v>
      </c>
      <c r="F4" s="14" t="s">
        <v>11</v>
      </c>
      <c r="G4" s="15">
        <v>36</v>
      </c>
      <c r="H4" s="1">
        <v>1198</v>
      </c>
      <c r="I4" s="13">
        <f t="shared" si="0"/>
        <v>43128</v>
      </c>
    </row>
    <row r="5" spans="1:9" x14ac:dyDescent="0.35">
      <c r="A5" s="7">
        <v>4</v>
      </c>
      <c r="B5" s="8">
        <v>43157</v>
      </c>
      <c r="C5" s="9" t="s">
        <v>12</v>
      </c>
      <c r="D5" s="10" t="s">
        <v>17</v>
      </c>
      <c r="E5" s="11" t="s">
        <v>18</v>
      </c>
      <c r="F5" s="14" t="s">
        <v>19</v>
      </c>
      <c r="G5" s="15">
        <v>27</v>
      </c>
      <c r="H5" s="1">
        <v>225</v>
      </c>
      <c r="I5" s="13">
        <f t="shared" si="0"/>
        <v>6075</v>
      </c>
    </row>
    <row r="6" spans="1:9" x14ac:dyDescent="0.35">
      <c r="A6" s="7">
        <v>5</v>
      </c>
      <c r="B6" s="8">
        <v>43174</v>
      </c>
      <c r="C6" s="9" t="s">
        <v>20</v>
      </c>
      <c r="D6" s="10" t="s">
        <v>17</v>
      </c>
      <c r="E6" s="11" t="s">
        <v>21</v>
      </c>
      <c r="F6" s="14" t="s">
        <v>11</v>
      </c>
      <c r="G6" s="15">
        <v>56</v>
      </c>
      <c r="H6" s="1">
        <v>1198</v>
      </c>
      <c r="I6" s="13">
        <f t="shared" si="0"/>
        <v>67088</v>
      </c>
    </row>
    <row r="7" spans="1:9" x14ac:dyDescent="0.35">
      <c r="A7" s="7">
        <v>6</v>
      </c>
      <c r="B7" s="8">
        <v>43191</v>
      </c>
      <c r="C7" s="9" t="s">
        <v>8</v>
      </c>
      <c r="D7" s="10" t="s">
        <v>9</v>
      </c>
      <c r="E7" s="11" t="s">
        <v>10</v>
      </c>
      <c r="F7" s="14" t="s">
        <v>15</v>
      </c>
      <c r="G7" s="15">
        <v>60</v>
      </c>
      <c r="H7" s="1">
        <v>500</v>
      </c>
      <c r="I7" s="13">
        <f t="shared" si="0"/>
        <v>30000</v>
      </c>
    </row>
    <row r="8" spans="1:9" x14ac:dyDescent="0.35">
      <c r="A8" s="7">
        <v>7</v>
      </c>
      <c r="B8" s="8">
        <v>43208</v>
      </c>
      <c r="C8" s="9" t="s">
        <v>12</v>
      </c>
      <c r="D8" s="11" t="s">
        <v>9</v>
      </c>
      <c r="E8" s="11" t="s">
        <v>22</v>
      </c>
      <c r="F8" s="14" t="s">
        <v>11</v>
      </c>
      <c r="G8" s="15">
        <v>75</v>
      </c>
      <c r="H8" s="1">
        <v>1198</v>
      </c>
      <c r="I8" s="13">
        <f>G8*H8</f>
        <v>89850</v>
      </c>
    </row>
    <row r="9" spans="1:9" x14ac:dyDescent="0.35">
      <c r="A9" s="7">
        <v>8</v>
      </c>
      <c r="B9" s="8">
        <v>43225</v>
      </c>
      <c r="C9" s="9" t="s">
        <v>12</v>
      </c>
      <c r="D9" s="10" t="s">
        <v>13</v>
      </c>
      <c r="E9" s="11" t="s">
        <v>16</v>
      </c>
      <c r="F9" s="14" t="s">
        <v>11</v>
      </c>
      <c r="G9" s="15">
        <v>90</v>
      </c>
      <c r="H9" s="1">
        <v>1198</v>
      </c>
      <c r="I9" s="13">
        <f t="shared" si="0"/>
        <v>107820</v>
      </c>
    </row>
    <row r="10" spans="1:9" x14ac:dyDescent="0.35">
      <c r="A10" s="7">
        <v>9</v>
      </c>
      <c r="B10" s="8">
        <v>43242</v>
      </c>
      <c r="C10" s="9" t="s">
        <v>20</v>
      </c>
      <c r="D10" s="16" t="s">
        <v>23</v>
      </c>
      <c r="E10" s="11" t="s">
        <v>24</v>
      </c>
      <c r="F10" s="14" t="s">
        <v>11</v>
      </c>
      <c r="G10" s="15">
        <v>32</v>
      </c>
      <c r="H10" s="6">
        <v>1198</v>
      </c>
      <c r="I10" s="13">
        <f t="shared" si="0"/>
        <v>38336</v>
      </c>
    </row>
    <row r="11" spans="1:9" x14ac:dyDescent="0.35">
      <c r="A11" s="7">
        <v>10</v>
      </c>
      <c r="B11" s="8">
        <v>43259</v>
      </c>
      <c r="C11" s="9" t="s">
        <v>8</v>
      </c>
      <c r="D11" s="10" t="s">
        <v>9</v>
      </c>
      <c r="E11" s="11" t="s">
        <v>10</v>
      </c>
      <c r="F11" s="14" t="s">
        <v>15</v>
      </c>
      <c r="G11" s="15">
        <v>60</v>
      </c>
      <c r="H11" s="6">
        <v>500</v>
      </c>
      <c r="I11" s="13">
        <f t="shared" si="0"/>
        <v>30000</v>
      </c>
    </row>
  </sheetData>
  <autoFilter ref="A1:I1" xr:uid="{BAF55E6E-15CA-42E7-85D6-568C3BCDF33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8A6C3-27CC-4DD0-9354-F8BB48921BD5}">
  <sheetPr codeName="Sheet3"/>
  <dimension ref="A1:G11"/>
  <sheetViews>
    <sheetView zoomScale="160" zoomScaleNormal="160" workbookViewId="0">
      <pane ySplit="1" topLeftCell="A2" activePane="bottomLeft" state="frozen"/>
      <selection pane="bottomLeft" activeCell="B6" sqref="B6"/>
    </sheetView>
  </sheetViews>
  <sheetFormatPr defaultColWidth="22.08984375" defaultRowHeight="14.5" x14ac:dyDescent="0.35"/>
  <cols>
    <col min="1" max="1" width="9.6328125" style="4" customWidth="1"/>
    <col min="2" max="2" width="14.453125" style="4" customWidth="1"/>
    <col min="3" max="3" width="11.08984375" customWidth="1"/>
    <col min="4" max="4" width="14.26953125" customWidth="1"/>
    <col min="5" max="5" width="13.6328125" customWidth="1"/>
    <col min="6" max="6" width="12" style="4" customWidth="1"/>
    <col min="7" max="7" width="18.90625" style="4" customWidth="1"/>
    <col min="8" max="8" width="14.08984375" customWidth="1"/>
    <col min="9" max="9" width="14.36328125" customWidth="1"/>
  </cols>
  <sheetData>
    <row r="1" spans="1:7" x14ac:dyDescent="0.35">
      <c r="A1" s="5" t="s">
        <v>27</v>
      </c>
      <c r="B1" s="5" t="s">
        <v>0</v>
      </c>
      <c r="C1" s="5" t="s">
        <v>1</v>
      </c>
      <c r="D1" s="5" t="s">
        <v>4</v>
      </c>
      <c r="E1" s="5" t="s">
        <v>32</v>
      </c>
      <c r="F1" s="5" t="s">
        <v>33</v>
      </c>
      <c r="G1" s="5" t="s">
        <v>28</v>
      </c>
    </row>
    <row r="2" spans="1:7" x14ac:dyDescent="0.35">
      <c r="A2" s="17">
        <v>1</v>
      </c>
      <c r="B2" s="18">
        <v>43106</v>
      </c>
      <c r="C2" s="19" t="s">
        <v>8</v>
      </c>
      <c r="D2" s="19" t="s">
        <v>11</v>
      </c>
      <c r="E2" s="19" t="s">
        <v>29</v>
      </c>
      <c r="F2" s="17" t="s">
        <v>34</v>
      </c>
      <c r="G2" s="18">
        <v>43110</v>
      </c>
    </row>
    <row r="3" spans="1:7" x14ac:dyDescent="0.35">
      <c r="A3" s="17">
        <v>2</v>
      </c>
      <c r="B3" s="18">
        <v>43123</v>
      </c>
      <c r="C3" s="19" t="s">
        <v>12</v>
      </c>
      <c r="D3" s="19" t="s">
        <v>15</v>
      </c>
      <c r="E3" s="19" t="s">
        <v>30</v>
      </c>
      <c r="F3" s="17" t="s">
        <v>35</v>
      </c>
      <c r="G3" s="18">
        <v>43128</v>
      </c>
    </row>
    <row r="4" spans="1:7" x14ac:dyDescent="0.35">
      <c r="A4" s="17">
        <v>3</v>
      </c>
      <c r="B4" s="18">
        <v>43140</v>
      </c>
      <c r="C4" s="19" t="s">
        <v>12</v>
      </c>
      <c r="D4" s="19" t="s">
        <v>11</v>
      </c>
      <c r="E4" s="19" t="s">
        <v>29</v>
      </c>
      <c r="F4" s="17" t="s">
        <v>36</v>
      </c>
      <c r="G4" s="18">
        <v>43145</v>
      </c>
    </row>
    <row r="5" spans="1:7" x14ac:dyDescent="0.35">
      <c r="A5" s="17">
        <v>4</v>
      </c>
      <c r="B5" s="18">
        <v>43157</v>
      </c>
      <c r="C5" s="19" t="s">
        <v>12</v>
      </c>
      <c r="D5" s="19" t="s">
        <v>19</v>
      </c>
      <c r="E5" s="19" t="s">
        <v>31</v>
      </c>
      <c r="F5" s="17" t="s">
        <v>37</v>
      </c>
      <c r="G5" s="18">
        <v>43160</v>
      </c>
    </row>
    <row r="6" spans="1:7" x14ac:dyDescent="0.35">
      <c r="A6" s="17">
        <v>5</v>
      </c>
      <c r="B6" s="18">
        <v>43174</v>
      </c>
      <c r="C6" s="19" t="s">
        <v>20</v>
      </c>
      <c r="D6" s="19" t="s">
        <v>11</v>
      </c>
      <c r="E6" s="19" t="s">
        <v>29</v>
      </c>
      <c r="F6" s="17" t="s">
        <v>38</v>
      </c>
      <c r="G6" s="18">
        <v>43179</v>
      </c>
    </row>
    <row r="7" spans="1:7" x14ac:dyDescent="0.35">
      <c r="A7" s="17">
        <v>11</v>
      </c>
      <c r="B7" s="18">
        <v>43784</v>
      </c>
      <c r="C7" s="19" t="s">
        <v>8</v>
      </c>
      <c r="D7" s="19" t="s">
        <v>26</v>
      </c>
      <c r="E7" s="19" t="s">
        <v>29</v>
      </c>
      <c r="F7" s="17" t="s">
        <v>39</v>
      </c>
      <c r="G7" s="18">
        <v>43789</v>
      </c>
    </row>
    <row r="8" spans="1:7" x14ac:dyDescent="0.35">
      <c r="A8" s="17">
        <v>12</v>
      </c>
      <c r="B8" s="18">
        <v>43800</v>
      </c>
      <c r="C8" s="19" t="s">
        <v>20</v>
      </c>
      <c r="D8" s="19" t="s">
        <v>25</v>
      </c>
      <c r="E8" s="19" t="s">
        <v>30</v>
      </c>
      <c r="F8" s="17" t="s">
        <v>40</v>
      </c>
      <c r="G8" s="18">
        <v>43804</v>
      </c>
    </row>
    <row r="9" spans="1:7" x14ac:dyDescent="0.35">
      <c r="A9" s="17">
        <v>13</v>
      </c>
      <c r="B9" s="18">
        <v>43814</v>
      </c>
      <c r="C9" s="19" t="s">
        <v>12</v>
      </c>
      <c r="D9" s="19" t="s">
        <v>19</v>
      </c>
      <c r="E9" s="19" t="s">
        <v>31</v>
      </c>
      <c r="F9" s="17" t="s">
        <v>41</v>
      </c>
      <c r="G9" s="18">
        <v>43819</v>
      </c>
    </row>
    <row r="10" spans="1:7" x14ac:dyDescent="0.35">
      <c r="A10" s="17">
        <v>14</v>
      </c>
      <c r="B10" s="18">
        <v>43835</v>
      </c>
      <c r="C10" s="19" t="s">
        <v>8</v>
      </c>
      <c r="D10" s="19" t="s">
        <v>11</v>
      </c>
      <c r="E10" s="19" t="s">
        <v>29</v>
      </c>
      <c r="F10" s="17" t="s">
        <v>42</v>
      </c>
      <c r="G10" s="18">
        <v>43840</v>
      </c>
    </row>
    <row r="11" spans="1:7" x14ac:dyDescent="0.35">
      <c r="A11" s="17">
        <v>15</v>
      </c>
      <c r="B11" s="18">
        <v>43850</v>
      </c>
      <c r="C11" s="19" t="s">
        <v>12</v>
      </c>
      <c r="D11" s="19" t="s">
        <v>15</v>
      </c>
      <c r="E11" s="19" t="s">
        <v>29</v>
      </c>
      <c r="F11" s="17" t="s">
        <v>43</v>
      </c>
      <c r="G11" s="18">
        <v>43855</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93BF8-D1DC-4590-BA79-A05E8F55C81C}">
  <sheetPr>
    <tabColor rgb="FF00B050"/>
  </sheetPr>
  <dimension ref="A1:K60"/>
  <sheetViews>
    <sheetView zoomScale="130" zoomScaleNormal="130" workbookViewId="0">
      <pane ySplit="1" topLeftCell="A2" activePane="bottomLeft" state="frozen"/>
      <selection pane="bottomLeft" activeCell="D20" sqref="D20"/>
    </sheetView>
  </sheetViews>
  <sheetFormatPr defaultRowHeight="14.5" x14ac:dyDescent="0.35"/>
  <cols>
    <col min="1" max="1" width="12.08984375" bestFit="1" customWidth="1"/>
    <col min="2" max="2" width="15.453125" customWidth="1"/>
    <col min="3" max="3" width="11" bestFit="1" customWidth="1"/>
    <col min="4" max="4" width="16.81640625" customWidth="1"/>
    <col min="5" max="5" width="15.1796875" customWidth="1"/>
    <col min="6" max="6" width="16.1796875" customWidth="1"/>
    <col min="7" max="7" width="9.7265625" bestFit="1" customWidth="1"/>
    <col min="8" max="9" width="13.81640625" customWidth="1"/>
    <col min="10" max="10" width="15.36328125" customWidth="1"/>
    <col min="11" max="11" width="10.7265625" bestFit="1" customWidth="1"/>
  </cols>
  <sheetData>
    <row r="1" spans="1:10" x14ac:dyDescent="0.35">
      <c r="A1" s="22" t="s">
        <v>27</v>
      </c>
      <c r="B1" s="23" t="s">
        <v>0</v>
      </c>
      <c r="C1" s="24" t="s">
        <v>1</v>
      </c>
      <c r="D1" s="24" t="s">
        <v>2</v>
      </c>
      <c r="E1" s="24" t="s">
        <v>3</v>
      </c>
      <c r="F1" s="24" t="s">
        <v>4</v>
      </c>
      <c r="G1" s="24" t="s">
        <v>5</v>
      </c>
      <c r="H1" s="24" t="s">
        <v>6</v>
      </c>
      <c r="I1" s="25" t="s">
        <v>7</v>
      </c>
      <c r="J1" s="24" t="s">
        <v>44</v>
      </c>
    </row>
    <row r="2" spans="1:10" x14ac:dyDescent="0.35">
      <c r="A2" s="20">
        <v>1</v>
      </c>
      <c r="B2" s="8">
        <v>43106</v>
      </c>
      <c r="C2" s="9" t="s">
        <v>8</v>
      </c>
      <c r="D2" s="10" t="s">
        <v>9</v>
      </c>
      <c r="E2" s="11" t="s">
        <v>10</v>
      </c>
      <c r="F2" s="11" t="s">
        <v>11</v>
      </c>
      <c r="G2" s="12">
        <v>95</v>
      </c>
      <c r="H2" s="1">
        <v>1198</v>
      </c>
      <c r="I2" s="21">
        <f>G2*H2</f>
        <v>113810</v>
      </c>
      <c r="J2" s="13">
        <f>Table1[[#This Row],[Sale_amt]]*15%</f>
        <v>17071.5</v>
      </c>
    </row>
    <row r="3" spans="1:10" x14ac:dyDescent="0.35">
      <c r="A3" s="20">
        <v>2</v>
      </c>
      <c r="B3" s="8">
        <v>43123</v>
      </c>
      <c r="C3" s="9" t="s">
        <v>12</v>
      </c>
      <c r="D3" s="10" t="s">
        <v>13</v>
      </c>
      <c r="E3" s="11" t="s">
        <v>14</v>
      </c>
      <c r="F3" s="14" t="s">
        <v>15</v>
      </c>
      <c r="G3" s="15">
        <v>50</v>
      </c>
      <c r="H3" s="1">
        <v>400</v>
      </c>
      <c r="I3" s="21">
        <f t="shared" ref="I3:I11" si="0">G3*H3</f>
        <v>20000</v>
      </c>
      <c r="J3" s="13">
        <f>Table1[[#This Row],[Sale_amt]]*15%</f>
        <v>3000</v>
      </c>
    </row>
    <row r="4" spans="1:10" x14ac:dyDescent="0.35">
      <c r="A4" s="20">
        <v>3</v>
      </c>
      <c r="B4" s="8">
        <v>43140</v>
      </c>
      <c r="C4" s="9" t="s">
        <v>12</v>
      </c>
      <c r="D4" s="10" t="s">
        <v>13</v>
      </c>
      <c r="E4" s="11" t="s">
        <v>16</v>
      </c>
      <c r="F4" s="14" t="s">
        <v>11</v>
      </c>
      <c r="G4" s="15">
        <v>36</v>
      </c>
      <c r="H4" s="1">
        <v>1198</v>
      </c>
      <c r="I4" s="21">
        <f t="shared" si="0"/>
        <v>43128</v>
      </c>
      <c r="J4" s="13">
        <f>Table1[[#This Row],[Sale_amt]]*15%</f>
        <v>6469.2</v>
      </c>
    </row>
    <row r="5" spans="1:10" x14ac:dyDescent="0.35">
      <c r="A5" s="20">
        <v>4</v>
      </c>
      <c r="B5" s="8">
        <v>43157</v>
      </c>
      <c r="C5" s="9" t="s">
        <v>12</v>
      </c>
      <c r="D5" s="10" t="s">
        <v>17</v>
      </c>
      <c r="E5" s="11" t="s">
        <v>18</v>
      </c>
      <c r="F5" s="14" t="s">
        <v>19</v>
      </c>
      <c r="G5" s="15">
        <v>27</v>
      </c>
      <c r="H5" s="1">
        <v>225</v>
      </c>
      <c r="I5" s="21">
        <f t="shared" si="0"/>
        <v>6075</v>
      </c>
      <c r="J5" s="13">
        <f>Table1[[#This Row],[Sale_amt]]*15%</f>
        <v>911.25</v>
      </c>
    </row>
    <row r="6" spans="1:10" x14ac:dyDescent="0.35">
      <c r="A6" s="20">
        <v>5</v>
      </c>
      <c r="B6" s="8">
        <v>43174</v>
      </c>
      <c r="C6" s="9" t="s">
        <v>20</v>
      </c>
      <c r="D6" s="10" t="s">
        <v>17</v>
      </c>
      <c r="E6" s="11" t="s">
        <v>21</v>
      </c>
      <c r="F6" s="14" t="s">
        <v>11</v>
      </c>
      <c r="G6" s="15">
        <v>56</v>
      </c>
      <c r="H6" s="1">
        <v>1198</v>
      </c>
      <c r="I6" s="21">
        <f t="shared" si="0"/>
        <v>67088</v>
      </c>
      <c r="J6" s="13">
        <f>Table1[[#This Row],[Sale_amt]]*15%</f>
        <v>10063.199999999999</v>
      </c>
    </row>
    <row r="7" spans="1:10" x14ac:dyDescent="0.35">
      <c r="A7" s="20">
        <v>6</v>
      </c>
      <c r="B7" s="8">
        <v>43191</v>
      </c>
      <c r="C7" s="9" t="s">
        <v>8</v>
      </c>
      <c r="D7" s="10" t="s">
        <v>9</v>
      </c>
      <c r="E7" s="11" t="s">
        <v>10</v>
      </c>
      <c r="F7" s="14" t="s">
        <v>15</v>
      </c>
      <c r="G7" s="15">
        <v>60</v>
      </c>
      <c r="H7" s="1">
        <v>500</v>
      </c>
      <c r="I7" s="21">
        <f t="shared" si="0"/>
        <v>30000</v>
      </c>
      <c r="J7" s="13">
        <f>Table1[[#This Row],[Sale_amt]]*15%</f>
        <v>4500</v>
      </c>
    </row>
    <row r="8" spans="1:10" x14ac:dyDescent="0.35">
      <c r="A8" s="20">
        <v>7</v>
      </c>
      <c r="B8" s="8">
        <v>43208</v>
      </c>
      <c r="C8" s="9" t="s">
        <v>12</v>
      </c>
      <c r="D8" s="11" t="s">
        <v>9</v>
      </c>
      <c r="E8" s="11" t="s">
        <v>22</v>
      </c>
      <c r="F8" s="14" t="s">
        <v>11</v>
      </c>
      <c r="G8" s="15">
        <v>75</v>
      </c>
      <c r="H8" s="1">
        <v>1198</v>
      </c>
      <c r="I8" s="21">
        <f>G8*H8</f>
        <v>89850</v>
      </c>
      <c r="J8" s="13">
        <f>Table1[[#This Row],[Sale_amt]]*15%</f>
        <v>13477.5</v>
      </c>
    </row>
    <row r="9" spans="1:10" x14ac:dyDescent="0.35">
      <c r="A9" s="20">
        <v>8</v>
      </c>
      <c r="B9" s="8">
        <v>43225</v>
      </c>
      <c r="C9" s="9" t="s">
        <v>12</v>
      </c>
      <c r="D9" s="10" t="s">
        <v>13</v>
      </c>
      <c r="E9" s="11" t="s">
        <v>16</v>
      </c>
      <c r="F9" s="14" t="s">
        <v>11</v>
      </c>
      <c r="G9" s="15">
        <v>90</v>
      </c>
      <c r="H9" s="1">
        <v>1198</v>
      </c>
      <c r="I9" s="21">
        <f t="shared" si="0"/>
        <v>107820</v>
      </c>
      <c r="J9" s="13">
        <f>Table1[[#This Row],[Sale_amt]]*15%</f>
        <v>16173</v>
      </c>
    </row>
    <row r="10" spans="1:10" x14ac:dyDescent="0.35">
      <c r="A10" s="20">
        <v>9</v>
      </c>
      <c r="B10" s="8">
        <v>43242</v>
      </c>
      <c r="C10" s="9" t="s">
        <v>20</v>
      </c>
      <c r="D10" s="16" t="s">
        <v>23</v>
      </c>
      <c r="E10" s="11" t="s">
        <v>24</v>
      </c>
      <c r="F10" s="14" t="s">
        <v>11</v>
      </c>
      <c r="G10" s="15">
        <v>32</v>
      </c>
      <c r="H10" s="6">
        <v>1198</v>
      </c>
      <c r="I10" s="21">
        <f t="shared" si="0"/>
        <v>38336</v>
      </c>
      <c r="J10" s="13">
        <f>Table1[[#This Row],[Sale_amt]]*15%</f>
        <v>5750.4</v>
      </c>
    </row>
    <row r="11" spans="1:10" x14ac:dyDescent="0.35">
      <c r="A11" s="26">
        <v>10</v>
      </c>
      <c r="B11" s="27">
        <v>43259</v>
      </c>
      <c r="C11" s="28" t="s">
        <v>8</v>
      </c>
      <c r="D11" s="29" t="s">
        <v>9</v>
      </c>
      <c r="E11" s="30" t="s">
        <v>10</v>
      </c>
      <c r="F11" s="31" t="s">
        <v>15</v>
      </c>
      <c r="G11" s="32">
        <v>60</v>
      </c>
      <c r="H11" s="33">
        <v>500</v>
      </c>
      <c r="I11" s="34">
        <f t="shared" si="0"/>
        <v>30000</v>
      </c>
      <c r="J11" s="13">
        <f>Table1[[#This Row],[Sale_amt]]*15%</f>
        <v>4500</v>
      </c>
    </row>
    <row r="18" spans="1:11" x14ac:dyDescent="0.35">
      <c r="A18" s="2" t="s">
        <v>1</v>
      </c>
      <c r="B18" s="51" t="s">
        <v>8</v>
      </c>
      <c r="C18" s="52" t="s">
        <v>12</v>
      </c>
      <c r="D18" s="51" t="s">
        <v>12</v>
      </c>
      <c r="E18" s="52" t="s">
        <v>12</v>
      </c>
      <c r="F18" s="51" t="s">
        <v>20</v>
      </c>
      <c r="G18" s="52" t="s">
        <v>8</v>
      </c>
      <c r="H18" s="51" t="s">
        <v>12</v>
      </c>
      <c r="I18" s="52" t="s">
        <v>12</v>
      </c>
      <c r="J18" s="51" t="s">
        <v>20</v>
      </c>
      <c r="K18" s="52" t="s">
        <v>8</v>
      </c>
    </row>
    <row r="21" spans="1:11" x14ac:dyDescent="0.35">
      <c r="A21" s="2" t="s">
        <v>1</v>
      </c>
    </row>
    <row r="22" spans="1:11" x14ac:dyDescent="0.35">
      <c r="A22" s="51" t="s">
        <v>8</v>
      </c>
    </row>
    <row r="23" spans="1:11" x14ac:dyDescent="0.35">
      <c r="A23" s="52" t="s">
        <v>12</v>
      </c>
    </row>
    <row r="24" spans="1:11" x14ac:dyDescent="0.35">
      <c r="A24" s="51" t="s">
        <v>12</v>
      </c>
    </row>
    <row r="25" spans="1:11" x14ac:dyDescent="0.35">
      <c r="A25" s="52" t="s">
        <v>12</v>
      </c>
    </row>
    <row r="26" spans="1:11" x14ac:dyDescent="0.35">
      <c r="A26" s="51" t="s">
        <v>20</v>
      </c>
    </row>
    <row r="27" spans="1:11" x14ac:dyDescent="0.35">
      <c r="A27" s="52" t="s">
        <v>8</v>
      </c>
    </row>
    <row r="28" spans="1:11" x14ac:dyDescent="0.35">
      <c r="A28" s="51" t="s">
        <v>12</v>
      </c>
    </row>
    <row r="29" spans="1:11" x14ac:dyDescent="0.35">
      <c r="A29" s="52" t="s">
        <v>12</v>
      </c>
    </row>
    <row r="30" spans="1:11" x14ac:dyDescent="0.35">
      <c r="A30" s="51" t="s">
        <v>20</v>
      </c>
    </row>
    <row r="31" spans="1:11" x14ac:dyDescent="0.35">
      <c r="A31" s="52" t="s">
        <v>8</v>
      </c>
    </row>
    <row r="38" spans="1:11" x14ac:dyDescent="0.35">
      <c r="A38" s="2" t="s">
        <v>27</v>
      </c>
      <c r="B38" s="7">
        <v>1</v>
      </c>
      <c r="C38" s="7">
        <v>2</v>
      </c>
      <c r="D38" s="7">
        <v>3</v>
      </c>
      <c r="E38" s="7">
        <v>4</v>
      </c>
      <c r="F38" s="7">
        <v>5</v>
      </c>
      <c r="G38" s="7">
        <v>6</v>
      </c>
      <c r="H38" s="7">
        <v>7</v>
      </c>
      <c r="I38" s="7">
        <v>8</v>
      </c>
      <c r="J38" s="7">
        <v>9</v>
      </c>
      <c r="K38" s="7">
        <v>10</v>
      </c>
    </row>
    <row r="39" spans="1:11" x14ac:dyDescent="0.35">
      <c r="A39" s="3" t="s">
        <v>0</v>
      </c>
      <c r="B39" s="8">
        <v>43106</v>
      </c>
      <c r="C39" s="8">
        <v>43123</v>
      </c>
      <c r="D39" s="8">
        <v>43140</v>
      </c>
      <c r="E39" s="8">
        <v>43157</v>
      </c>
      <c r="F39" s="8">
        <v>43174</v>
      </c>
      <c r="G39" s="8">
        <v>43191</v>
      </c>
      <c r="H39" s="8">
        <v>43208</v>
      </c>
      <c r="I39" s="8">
        <v>43225</v>
      </c>
      <c r="J39" s="8">
        <v>43242</v>
      </c>
      <c r="K39" s="8">
        <v>43259</v>
      </c>
    </row>
    <row r="40" spans="1:11" x14ac:dyDescent="0.35">
      <c r="A40" s="2" t="s">
        <v>1</v>
      </c>
      <c r="B40" s="9" t="s">
        <v>8</v>
      </c>
      <c r="C40" s="9" t="s">
        <v>12</v>
      </c>
      <c r="D40" s="9" t="s">
        <v>12</v>
      </c>
      <c r="E40" s="9" t="s">
        <v>12</v>
      </c>
      <c r="F40" s="9" t="s">
        <v>20</v>
      </c>
      <c r="G40" s="9" t="s">
        <v>8</v>
      </c>
      <c r="H40" s="9" t="s">
        <v>12</v>
      </c>
      <c r="I40" s="9" t="s">
        <v>12</v>
      </c>
      <c r="J40" s="9" t="s">
        <v>20</v>
      </c>
      <c r="K40" s="9" t="s">
        <v>8</v>
      </c>
    </row>
    <row r="41" spans="1:11" x14ac:dyDescent="0.35">
      <c r="A41" s="2" t="s">
        <v>2</v>
      </c>
      <c r="B41" s="10" t="s">
        <v>9</v>
      </c>
      <c r="C41" s="10" t="s">
        <v>13</v>
      </c>
      <c r="D41" s="10" t="s">
        <v>13</v>
      </c>
      <c r="E41" s="10" t="s">
        <v>17</v>
      </c>
      <c r="F41" s="10" t="s">
        <v>17</v>
      </c>
      <c r="G41" s="10" t="s">
        <v>9</v>
      </c>
      <c r="H41" s="11" t="s">
        <v>9</v>
      </c>
      <c r="I41" s="10" t="s">
        <v>13</v>
      </c>
      <c r="J41" s="16" t="s">
        <v>23</v>
      </c>
      <c r="K41" s="10" t="s">
        <v>9</v>
      </c>
    </row>
    <row r="42" spans="1:11" x14ac:dyDescent="0.35">
      <c r="A42" s="2" t="s">
        <v>3</v>
      </c>
      <c r="B42" s="11" t="s">
        <v>10</v>
      </c>
      <c r="C42" s="11" t="s">
        <v>14</v>
      </c>
      <c r="D42" s="11" t="s">
        <v>16</v>
      </c>
      <c r="E42" s="11" t="s">
        <v>18</v>
      </c>
      <c r="F42" s="11" t="s">
        <v>21</v>
      </c>
      <c r="G42" s="11" t="s">
        <v>10</v>
      </c>
      <c r="H42" s="11" t="s">
        <v>22</v>
      </c>
      <c r="I42" s="11" t="s">
        <v>16</v>
      </c>
      <c r="J42" s="11" t="s">
        <v>24</v>
      </c>
      <c r="K42" s="11" t="s">
        <v>10</v>
      </c>
    </row>
    <row r="43" spans="1:11" x14ac:dyDescent="0.35">
      <c r="A43" s="2" t="s">
        <v>4</v>
      </c>
      <c r="B43" s="11" t="s">
        <v>11</v>
      </c>
      <c r="C43" s="14" t="s">
        <v>15</v>
      </c>
      <c r="D43" s="14" t="s">
        <v>11</v>
      </c>
      <c r="E43" s="14" t="s">
        <v>19</v>
      </c>
      <c r="F43" s="14" t="s">
        <v>11</v>
      </c>
      <c r="G43" s="14" t="s">
        <v>15</v>
      </c>
      <c r="H43" s="14" t="s">
        <v>11</v>
      </c>
      <c r="I43" s="14" t="s">
        <v>11</v>
      </c>
      <c r="J43" s="14" t="s">
        <v>11</v>
      </c>
      <c r="K43" s="14" t="s">
        <v>15</v>
      </c>
    </row>
    <row r="44" spans="1:11" x14ac:dyDescent="0.35">
      <c r="A44" s="2" t="s">
        <v>5</v>
      </c>
      <c r="B44" s="12">
        <v>95</v>
      </c>
      <c r="C44" s="15">
        <v>50</v>
      </c>
      <c r="D44" s="15">
        <v>36</v>
      </c>
      <c r="E44" s="15">
        <v>27</v>
      </c>
      <c r="F44" s="15">
        <v>56</v>
      </c>
      <c r="G44" s="15">
        <v>60</v>
      </c>
      <c r="H44" s="15">
        <v>75</v>
      </c>
      <c r="I44" s="15">
        <v>90</v>
      </c>
      <c r="J44" s="15">
        <v>32</v>
      </c>
      <c r="K44" s="15">
        <v>60</v>
      </c>
    </row>
    <row r="45" spans="1:11" x14ac:dyDescent="0.35">
      <c r="A45" s="2" t="s">
        <v>6</v>
      </c>
      <c r="B45" s="1">
        <v>1198</v>
      </c>
      <c r="C45" s="1">
        <v>400</v>
      </c>
      <c r="D45" s="1">
        <v>1198</v>
      </c>
      <c r="E45" s="1">
        <v>225</v>
      </c>
      <c r="F45" s="1">
        <v>1198</v>
      </c>
      <c r="G45" s="1">
        <v>500</v>
      </c>
      <c r="H45" s="1">
        <v>1198</v>
      </c>
      <c r="I45" s="1">
        <v>1198</v>
      </c>
      <c r="J45" s="6">
        <v>1198</v>
      </c>
      <c r="K45" s="6">
        <v>500</v>
      </c>
    </row>
    <row r="46" spans="1:11" x14ac:dyDescent="0.35">
      <c r="A46" s="2" t="s">
        <v>7</v>
      </c>
      <c r="B46" s="13">
        <f t="shared" ref="B46:K46" si="1">B44*B45</f>
        <v>113810</v>
      </c>
      <c r="C46" s="13">
        <f t="shared" si="1"/>
        <v>20000</v>
      </c>
      <c r="D46" s="13">
        <f t="shared" si="1"/>
        <v>43128</v>
      </c>
      <c r="E46" s="13">
        <f t="shared" si="1"/>
        <v>6075</v>
      </c>
      <c r="F46" s="13">
        <f t="shared" si="1"/>
        <v>67088</v>
      </c>
      <c r="G46" s="13">
        <f t="shared" si="1"/>
        <v>30000</v>
      </c>
      <c r="H46" s="13">
        <f t="shared" si="1"/>
        <v>89850</v>
      </c>
      <c r="I46" s="13">
        <f t="shared" si="1"/>
        <v>107820</v>
      </c>
      <c r="J46" s="13">
        <f t="shared" si="1"/>
        <v>38336</v>
      </c>
      <c r="K46" s="13">
        <f t="shared" si="1"/>
        <v>30000</v>
      </c>
    </row>
    <row r="50" spans="1:4" x14ac:dyDescent="0.35">
      <c r="A50" s="54" t="s">
        <v>27</v>
      </c>
      <c r="B50" s="55" t="s">
        <v>0</v>
      </c>
      <c r="C50" s="54" t="s">
        <v>1</v>
      </c>
      <c r="D50" s="54" t="s">
        <v>2</v>
      </c>
    </row>
    <row r="51" spans="1:4" x14ac:dyDescent="0.35">
      <c r="A51" s="7">
        <v>1</v>
      </c>
      <c r="B51" s="53">
        <v>43106</v>
      </c>
      <c r="C51" s="7" t="s">
        <v>8</v>
      </c>
      <c r="D51" s="7" t="s">
        <v>9</v>
      </c>
    </row>
    <row r="52" spans="1:4" x14ac:dyDescent="0.35">
      <c r="A52" s="7">
        <v>2</v>
      </c>
      <c r="B52" s="53">
        <v>43123</v>
      </c>
      <c r="C52" s="7" t="s">
        <v>12</v>
      </c>
      <c r="D52" s="7" t="s">
        <v>13</v>
      </c>
    </row>
    <row r="53" spans="1:4" x14ac:dyDescent="0.35">
      <c r="A53" s="7">
        <v>3</v>
      </c>
      <c r="B53" s="53">
        <v>43140</v>
      </c>
      <c r="C53" s="7" t="s">
        <v>12</v>
      </c>
      <c r="D53" s="7" t="s">
        <v>13</v>
      </c>
    </row>
    <row r="54" spans="1:4" x14ac:dyDescent="0.35">
      <c r="A54" s="7">
        <v>4</v>
      </c>
      <c r="B54" s="53">
        <v>43157</v>
      </c>
      <c r="C54" s="7" t="s">
        <v>12</v>
      </c>
      <c r="D54" s="7" t="s">
        <v>17</v>
      </c>
    </row>
    <row r="55" spans="1:4" x14ac:dyDescent="0.35">
      <c r="A55" s="7">
        <v>5</v>
      </c>
      <c r="B55" s="53">
        <v>43174</v>
      </c>
      <c r="C55" s="7" t="s">
        <v>20</v>
      </c>
      <c r="D55" s="7" t="s">
        <v>17</v>
      </c>
    </row>
    <row r="56" spans="1:4" x14ac:dyDescent="0.35">
      <c r="A56" s="7">
        <v>6</v>
      </c>
      <c r="B56" s="53">
        <v>43191</v>
      </c>
      <c r="C56" s="7" t="s">
        <v>8</v>
      </c>
      <c r="D56" s="7" t="s">
        <v>9</v>
      </c>
    </row>
    <row r="57" spans="1:4" x14ac:dyDescent="0.35">
      <c r="A57" s="7">
        <v>7</v>
      </c>
      <c r="B57" s="53">
        <v>43208</v>
      </c>
      <c r="C57" s="7" t="s">
        <v>12</v>
      </c>
      <c r="D57" s="7" t="s">
        <v>9</v>
      </c>
    </row>
    <row r="58" spans="1:4" x14ac:dyDescent="0.35">
      <c r="A58" s="7">
        <v>8</v>
      </c>
      <c r="B58" s="53">
        <v>43225</v>
      </c>
      <c r="C58" s="7" t="s">
        <v>12</v>
      </c>
      <c r="D58" s="7" t="s">
        <v>13</v>
      </c>
    </row>
    <row r="59" spans="1:4" x14ac:dyDescent="0.35">
      <c r="A59" s="7">
        <v>9</v>
      </c>
      <c r="B59" s="53">
        <v>43242</v>
      </c>
      <c r="C59" s="7" t="s">
        <v>20</v>
      </c>
      <c r="D59" s="7" t="s">
        <v>23</v>
      </c>
    </row>
    <row r="60" spans="1:4" x14ac:dyDescent="0.35">
      <c r="A60" s="7">
        <v>10</v>
      </c>
      <c r="B60" s="53">
        <v>43259</v>
      </c>
      <c r="C60" s="7" t="s">
        <v>8</v>
      </c>
      <c r="D60" s="7" t="s">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6096A-B9A7-4FE5-B288-0226FDEE9897}">
  <sheetPr>
    <tabColor rgb="FFFFFF00"/>
  </sheetPr>
  <dimension ref="A8:G18"/>
  <sheetViews>
    <sheetView zoomScale="175" zoomScaleNormal="175" workbookViewId="0">
      <pane ySplit="8" topLeftCell="A9" activePane="bottomLeft" state="frozen"/>
      <selection pane="bottomLeft" activeCell="I16" sqref="I16"/>
    </sheetView>
  </sheetViews>
  <sheetFormatPr defaultColWidth="22.08984375" defaultRowHeight="14.5" x14ac:dyDescent="0.35"/>
  <cols>
    <col min="1" max="1" width="9.6328125" style="4" customWidth="1"/>
    <col min="2" max="2" width="14.453125" style="4" customWidth="1"/>
    <col min="3" max="3" width="11.08984375" customWidth="1"/>
    <col min="4" max="4" width="14.26953125" customWidth="1"/>
    <col min="5" max="5" width="13.6328125" customWidth="1"/>
    <col min="6" max="6" width="12" style="4" customWidth="1"/>
    <col min="7" max="7" width="18.90625" style="4" customWidth="1"/>
    <col min="8" max="8" width="14.08984375" customWidth="1"/>
    <col min="9" max="9" width="14.36328125" customWidth="1"/>
  </cols>
  <sheetData>
    <row r="8" spans="1:7" x14ac:dyDescent="0.35">
      <c r="A8" s="40" t="s">
        <v>27</v>
      </c>
      <c r="B8" s="41" t="s">
        <v>0</v>
      </c>
      <c r="C8" s="41" t="s">
        <v>1</v>
      </c>
      <c r="D8" s="41" t="s">
        <v>4</v>
      </c>
      <c r="E8" s="41" t="s">
        <v>32</v>
      </c>
      <c r="F8" s="41" t="s">
        <v>33</v>
      </c>
      <c r="G8" s="41" t="s">
        <v>28</v>
      </c>
    </row>
    <row r="9" spans="1:7" x14ac:dyDescent="0.35">
      <c r="A9" s="39">
        <v>1</v>
      </c>
      <c r="B9" s="37">
        <v>43106</v>
      </c>
      <c r="C9" s="38" t="s">
        <v>8</v>
      </c>
      <c r="D9" s="38" t="s">
        <v>11</v>
      </c>
      <c r="E9" s="38" t="s">
        <v>29</v>
      </c>
      <c r="F9" s="36" t="s">
        <v>34</v>
      </c>
      <c r="G9" s="37">
        <v>43110</v>
      </c>
    </row>
    <row r="10" spans="1:7" x14ac:dyDescent="0.35">
      <c r="A10" s="39">
        <v>2</v>
      </c>
      <c r="B10" s="37">
        <v>43123</v>
      </c>
      <c r="C10" s="38" t="s">
        <v>12</v>
      </c>
      <c r="D10" s="38" t="s">
        <v>15</v>
      </c>
      <c r="E10" s="38" t="s">
        <v>30</v>
      </c>
      <c r="F10" s="36" t="s">
        <v>35</v>
      </c>
      <c r="G10" s="37">
        <v>43128</v>
      </c>
    </row>
    <row r="11" spans="1:7" x14ac:dyDescent="0.35">
      <c r="A11" s="39">
        <v>3</v>
      </c>
      <c r="B11" s="37">
        <v>43140</v>
      </c>
      <c r="C11" s="38" t="s">
        <v>12</v>
      </c>
      <c r="D11" s="38" t="s">
        <v>11</v>
      </c>
      <c r="E11" s="38" t="s">
        <v>29</v>
      </c>
      <c r="F11" s="36" t="s">
        <v>36</v>
      </c>
      <c r="G11" s="37">
        <v>43145</v>
      </c>
    </row>
    <row r="12" spans="1:7" x14ac:dyDescent="0.35">
      <c r="A12" s="39">
        <v>4</v>
      </c>
      <c r="B12" s="37">
        <v>43157</v>
      </c>
      <c r="C12" s="38" t="s">
        <v>12</v>
      </c>
      <c r="D12" s="38" t="s">
        <v>19</v>
      </c>
      <c r="E12" s="38" t="s">
        <v>31</v>
      </c>
      <c r="F12" s="36" t="s">
        <v>37</v>
      </c>
      <c r="G12" s="37">
        <v>43160</v>
      </c>
    </row>
    <row r="13" spans="1:7" x14ac:dyDescent="0.35">
      <c r="A13" s="39">
        <v>5</v>
      </c>
      <c r="B13" s="37">
        <v>43174</v>
      </c>
      <c r="C13" s="38" t="s">
        <v>20</v>
      </c>
      <c r="D13" s="38" t="s">
        <v>11</v>
      </c>
      <c r="E13" s="38" t="s">
        <v>29</v>
      </c>
      <c r="F13" s="36" t="s">
        <v>38</v>
      </c>
      <c r="G13" s="37">
        <v>43179</v>
      </c>
    </row>
    <row r="14" spans="1:7" x14ac:dyDescent="0.35">
      <c r="A14" s="39">
        <v>11</v>
      </c>
      <c r="B14" s="37">
        <v>43784</v>
      </c>
      <c r="C14" s="38" t="s">
        <v>8</v>
      </c>
      <c r="D14" s="38" t="s">
        <v>26</v>
      </c>
      <c r="E14" s="38" t="s">
        <v>29</v>
      </c>
      <c r="F14" s="36" t="s">
        <v>39</v>
      </c>
      <c r="G14" s="37">
        <v>43789</v>
      </c>
    </row>
    <row r="15" spans="1:7" x14ac:dyDescent="0.35">
      <c r="A15" s="39">
        <v>12</v>
      </c>
      <c r="B15" s="37">
        <v>43800</v>
      </c>
      <c r="C15" s="38" t="s">
        <v>20</v>
      </c>
      <c r="D15" s="38" t="s">
        <v>25</v>
      </c>
      <c r="E15" s="38" t="s">
        <v>30</v>
      </c>
      <c r="F15" s="36" t="s">
        <v>40</v>
      </c>
      <c r="G15" s="37">
        <v>43804</v>
      </c>
    </row>
    <row r="16" spans="1:7" x14ac:dyDescent="0.35">
      <c r="A16" s="39">
        <v>13</v>
      </c>
      <c r="B16" s="37">
        <v>43814</v>
      </c>
      <c r="C16" s="38" t="s">
        <v>12</v>
      </c>
      <c r="D16" s="38" t="s">
        <v>19</v>
      </c>
      <c r="E16" s="38" t="s">
        <v>31</v>
      </c>
      <c r="F16" s="36" t="s">
        <v>41</v>
      </c>
      <c r="G16" s="37">
        <v>43819</v>
      </c>
    </row>
    <row r="17" spans="1:7" x14ac:dyDescent="0.35">
      <c r="A17" s="39">
        <v>14</v>
      </c>
      <c r="B17" s="37">
        <v>43835</v>
      </c>
      <c r="C17" s="38" t="s">
        <v>8</v>
      </c>
      <c r="D17" s="38" t="s">
        <v>11</v>
      </c>
      <c r="E17" s="38" t="s">
        <v>29</v>
      </c>
      <c r="F17" s="36" t="s">
        <v>42</v>
      </c>
      <c r="G17" s="37">
        <v>43840</v>
      </c>
    </row>
    <row r="18" spans="1:7" x14ac:dyDescent="0.35">
      <c r="A18" s="39">
        <v>15</v>
      </c>
      <c r="B18" s="37">
        <v>43850</v>
      </c>
      <c r="C18" s="38" t="s">
        <v>12</v>
      </c>
      <c r="D18" s="38" t="s">
        <v>15</v>
      </c>
      <c r="E18" s="38" t="s">
        <v>29</v>
      </c>
      <c r="F18" s="36" t="s">
        <v>43</v>
      </c>
      <c r="G18" s="37">
        <v>43855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43177-F927-423F-BC8D-CC7A37CC8946}">
  <dimension ref="A2:I19"/>
  <sheetViews>
    <sheetView zoomScale="145" zoomScaleNormal="145" workbookViewId="0">
      <pane xSplit="1" ySplit="9" topLeftCell="B10" activePane="bottomRight" state="frozen"/>
      <selection pane="topRight" activeCell="B1" sqref="B1"/>
      <selection pane="bottomLeft" activeCell="A2" sqref="A2"/>
      <selection pane="bottomRight" activeCell="C24" sqref="C24"/>
    </sheetView>
  </sheetViews>
  <sheetFormatPr defaultRowHeight="14.5" x14ac:dyDescent="0.35"/>
  <cols>
    <col min="1" max="1" width="12.08984375" bestFit="1" customWidth="1"/>
    <col min="2" max="2" width="15.453125" customWidth="1"/>
    <col min="3" max="3" width="11" bestFit="1" customWidth="1"/>
    <col min="4" max="4" width="16.81640625" customWidth="1"/>
    <col min="5" max="5" width="15.1796875" customWidth="1"/>
    <col min="6" max="6" width="16.1796875" customWidth="1"/>
    <col min="7" max="7" width="9.7265625" bestFit="1" customWidth="1"/>
    <col min="8" max="8" width="20.453125" customWidth="1"/>
    <col min="9" max="9" width="13.81640625" customWidth="1"/>
    <col min="10" max="10" width="11.453125" customWidth="1"/>
    <col min="11" max="11" width="6.81640625" bestFit="1" customWidth="1"/>
    <col min="12" max="12" width="10.7265625" bestFit="1" customWidth="1"/>
  </cols>
  <sheetData>
    <row r="2" spans="1:9" x14ac:dyDescent="0.35">
      <c r="H2" s="46" t="s">
        <v>45</v>
      </c>
    </row>
    <row r="3" spans="1:9" x14ac:dyDescent="0.35">
      <c r="H3" s="47">
        <f>SUBTOTAL(9, Table3[Sale_amt])</f>
        <v>546107</v>
      </c>
    </row>
    <row r="5" spans="1:9" x14ac:dyDescent="0.35">
      <c r="H5" s="46" t="s">
        <v>46</v>
      </c>
    </row>
    <row r="6" spans="1:9" x14ac:dyDescent="0.35">
      <c r="H6" s="50">
        <f>SUBTOTAL(1, Table3[Sale_amt])</f>
        <v>54610.7</v>
      </c>
    </row>
    <row r="9" spans="1:9" x14ac:dyDescent="0.35">
      <c r="A9" s="42" t="s">
        <v>27</v>
      </c>
      <c r="B9" s="43" t="s">
        <v>0</v>
      </c>
      <c r="C9" s="44" t="s">
        <v>1</v>
      </c>
      <c r="D9" s="44" t="s">
        <v>2</v>
      </c>
      <c r="E9" s="44" t="s">
        <v>3</v>
      </c>
      <c r="F9" s="44" t="s">
        <v>4</v>
      </c>
      <c r="G9" s="44" t="s">
        <v>5</v>
      </c>
      <c r="H9" s="44" t="s">
        <v>6</v>
      </c>
      <c r="I9" s="45" t="s">
        <v>7</v>
      </c>
    </row>
    <row r="10" spans="1:9" x14ac:dyDescent="0.35">
      <c r="A10" s="20">
        <v>1</v>
      </c>
      <c r="B10" s="8">
        <v>43106</v>
      </c>
      <c r="C10" s="9" t="s">
        <v>8</v>
      </c>
      <c r="D10" s="10" t="s">
        <v>9</v>
      </c>
      <c r="E10" s="11" t="s">
        <v>10</v>
      </c>
      <c r="F10" s="11" t="s">
        <v>11</v>
      </c>
      <c r="G10" s="12">
        <v>95</v>
      </c>
      <c r="H10" s="1">
        <v>1198</v>
      </c>
      <c r="I10" s="21">
        <f>G10*H10</f>
        <v>113810</v>
      </c>
    </row>
    <row r="11" spans="1:9" x14ac:dyDescent="0.35">
      <c r="A11" s="20">
        <v>2</v>
      </c>
      <c r="B11" s="8">
        <v>43123</v>
      </c>
      <c r="C11" s="9" t="s">
        <v>12</v>
      </c>
      <c r="D11" s="10" t="s">
        <v>13</v>
      </c>
      <c r="E11" s="11" t="s">
        <v>14</v>
      </c>
      <c r="F11" s="14" t="s">
        <v>15</v>
      </c>
      <c r="G11" s="15">
        <v>50</v>
      </c>
      <c r="H11" s="1">
        <v>400</v>
      </c>
      <c r="I11" s="21">
        <f t="shared" ref="I11:I19" si="0">G11*H11</f>
        <v>20000</v>
      </c>
    </row>
    <row r="12" spans="1:9" x14ac:dyDescent="0.35">
      <c r="A12" s="20">
        <v>3</v>
      </c>
      <c r="B12" s="8">
        <v>43140</v>
      </c>
      <c r="C12" s="9" t="s">
        <v>12</v>
      </c>
      <c r="D12" s="10" t="s">
        <v>13</v>
      </c>
      <c r="E12" s="11" t="s">
        <v>16</v>
      </c>
      <c r="F12" s="14" t="s">
        <v>11</v>
      </c>
      <c r="G12" s="15">
        <v>36</v>
      </c>
      <c r="H12" s="1">
        <v>1198</v>
      </c>
      <c r="I12" s="21">
        <f t="shared" si="0"/>
        <v>43128</v>
      </c>
    </row>
    <row r="13" spans="1:9" x14ac:dyDescent="0.35">
      <c r="A13" s="20">
        <v>4</v>
      </c>
      <c r="B13" s="8">
        <v>43157</v>
      </c>
      <c r="C13" s="9" t="s">
        <v>12</v>
      </c>
      <c r="D13" s="10" t="s">
        <v>17</v>
      </c>
      <c r="E13" s="11" t="s">
        <v>18</v>
      </c>
      <c r="F13" s="14" t="s">
        <v>19</v>
      </c>
      <c r="G13" s="15">
        <v>27</v>
      </c>
      <c r="H13" s="1">
        <v>225</v>
      </c>
      <c r="I13" s="21">
        <f t="shared" si="0"/>
        <v>6075</v>
      </c>
    </row>
    <row r="14" spans="1:9" x14ac:dyDescent="0.35">
      <c r="A14" s="20">
        <v>5</v>
      </c>
      <c r="B14" s="8">
        <v>43174</v>
      </c>
      <c r="C14" s="9" t="s">
        <v>20</v>
      </c>
      <c r="D14" s="10" t="s">
        <v>17</v>
      </c>
      <c r="E14" s="11" t="s">
        <v>21</v>
      </c>
      <c r="F14" s="14" t="s">
        <v>11</v>
      </c>
      <c r="G14" s="15">
        <v>56</v>
      </c>
      <c r="H14" s="1">
        <v>1198</v>
      </c>
      <c r="I14" s="21">
        <f t="shared" si="0"/>
        <v>67088</v>
      </c>
    </row>
    <row r="15" spans="1:9" x14ac:dyDescent="0.35">
      <c r="A15" s="20">
        <v>6</v>
      </c>
      <c r="B15" s="8">
        <v>43191</v>
      </c>
      <c r="C15" s="9" t="s">
        <v>8</v>
      </c>
      <c r="D15" s="10" t="s">
        <v>9</v>
      </c>
      <c r="E15" s="11" t="s">
        <v>10</v>
      </c>
      <c r="F15" s="14" t="s">
        <v>15</v>
      </c>
      <c r="G15" s="15">
        <v>60</v>
      </c>
      <c r="H15" s="1">
        <v>500</v>
      </c>
      <c r="I15" s="21">
        <f t="shared" si="0"/>
        <v>30000</v>
      </c>
    </row>
    <row r="16" spans="1:9" x14ac:dyDescent="0.35">
      <c r="A16" s="20">
        <v>7</v>
      </c>
      <c r="B16" s="8">
        <v>43208</v>
      </c>
      <c r="C16" s="9" t="s">
        <v>12</v>
      </c>
      <c r="D16" s="11" t="s">
        <v>9</v>
      </c>
      <c r="E16" s="11" t="s">
        <v>22</v>
      </c>
      <c r="F16" s="14" t="s">
        <v>11</v>
      </c>
      <c r="G16" s="15">
        <v>75</v>
      </c>
      <c r="H16" s="1">
        <v>1198</v>
      </c>
      <c r="I16" s="21">
        <f>G16*H16</f>
        <v>89850</v>
      </c>
    </row>
    <row r="17" spans="1:9" x14ac:dyDescent="0.35">
      <c r="A17" s="20">
        <v>8</v>
      </c>
      <c r="B17" s="8">
        <v>43225</v>
      </c>
      <c r="C17" s="9" t="s">
        <v>12</v>
      </c>
      <c r="D17" s="10" t="s">
        <v>13</v>
      </c>
      <c r="E17" s="11" t="s">
        <v>16</v>
      </c>
      <c r="F17" s="14" t="s">
        <v>11</v>
      </c>
      <c r="G17" s="15">
        <v>90</v>
      </c>
      <c r="H17" s="1">
        <v>1198</v>
      </c>
      <c r="I17" s="21">
        <f t="shared" si="0"/>
        <v>107820</v>
      </c>
    </row>
    <row r="18" spans="1:9" x14ac:dyDescent="0.35">
      <c r="A18" s="20">
        <v>9</v>
      </c>
      <c r="B18" s="8">
        <v>43242</v>
      </c>
      <c r="C18" s="9" t="s">
        <v>20</v>
      </c>
      <c r="D18" s="16" t="s">
        <v>23</v>
      </c>
      <c r="E18" s="11" t="s">
        <v>24</v>
      </c>
      <c r="F18" s="14" t="s">
        <v>11</v>
      </c>
      <c r="G18" s="15">
        <v>32</v>
      </c>
      <c r="H18" s="6">
        <v>1198</v>
      </c>
      <c r="I18" s="21">
        <f t="shared" si="0"/>
        <v>38336</v>
      </c>
    </row>
    <row r="19" spans="1:9" x14ac:dyDescent="0.35">
      <c r="A19" s="26">
        <v>10</v>
      </c>
      <c r="B19" s="27">
        <v>43259</v>
      </c>
      <c r="C19" s="28" t="s">
        <v>8</v>
      </c>
      <c r="D19" s="29" t="s">
        <v>9</v>
      </c>
      <c r="E19" s="30" t="s">
        <v>10</v>
      </c>
      <c r="F19" s="31" t="s">
        <v>15</v>
      </c>
      <c r="G19" s="32">
        <v>60</v>
      </c>
      <c r="H19" s="33">
        <v>500</v>
      </c>
      <c r="I19" s="34">
        <f t="shared" si="0"/>
        <v>30000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ADE01-B1C7-46A1-97E5-35B7B4CBD241}">
  <dimension ref="A1:C83"/>
  <sheetViews>
    <sheetView topLeftCell="A66" zoomScale="235" zoomScaleNormal="235" workbookViewId="0">
      <selection activeCell="E78" sqref="E78"/>
    </sheetView>
  </sheetViews>
  <sheetFormatPr defaultRowHeight="14.5" x14ac:dyDescent="0.35"/>
  <cols>
    <col min="1" max="1" width="16.1796875" bestFit="1" customWidth="1"/>
    <col min="2" max="2" width="14.90625" customWidth="1"/>
    <col min="3" max="3" width="15.81640625" customWidth="1"/>
    <col min="4" max="4" width="14.90625" customWidth="1"/>
  </cols>
  <sheetData>
    <row r="1" spans="1:3" x14ac:dyDescent="0.35">
      <c r="A1" s="60" t="s">
        <v>77</v>
      </c>
    </row>
    <row r="2" spans="1:3" x14ac:dyDescent="0.35">
      <c r="A2" s="56" t="s">
        <v>47</v>
      </c>
      <c r="B2" s="58" t="s">
        <v>47</v>
      </c>
      <c r="C2" s="57"/>
    </row>
    <row r="3" spans="1:3" x14ac:dyDescent="0.35">
      <c r="A3" s="48" t="s">
        <v>48</v>
      </c>
      <c r="B3" s="57" t="s">
        <v>57</v>
      </c>
      <c r="C3" s="57" t="s">
        <v>58</v>
      </c>
    </row>
    <row r="4" spans="1:3" x14ac:dyDescent="0.35">
      <c r="A4" s="48" t="s">
        <v>49</v>
      </c>
      <c r="B4" s="57" t="s">
        <v>59</v>
      </c>
      <c r="C4" s="57" t="s">
        <v>60</v>
      </c>
    </row>
    <row r="5" spans="1:3" x14ac:dyDescent="0.35">
      <c r="A5" s="48" t="s">
        <v>50</v>
      </c>
      <c r="B5" s="57" t="s">
        <v>61</v>
      </c>
      <c r="C5" s="57" t="s">
        <v>62</v>
      </c>
    </row>
    <row r="6" spans="1:3" x14ac:dyDescent="0.35">
      <c r="A6" s="48" t="s">
        <v>51</v>
      </c>
      <c r="B6" s="57" t="s">
        <v>63</v>
      </c>
      <c r="C6" s="57" t="s">
        <v>64</v>
      </c>
    </row>
    <row r="7" spans="1:3" x14ac:dyDescent="0.35">
      <c r="A7" s="48" t="s">
        <v>52</v>
      </c>
      <c r="B7" s="57" t="s">
        <v>65</v>
      </c>
      <c r="C7" s="57" t="s">
        <v>66</v>
      </c>
    </row>
    <row r="8" spans="1:3" x14ac:dyDescent="0.35">
      <c r="A8" s="48" t="s">
        <v>53</v>
      </c>
      <c r="B8" s="57" t="s">
        <v>67</v>
      </c>
      <c r="C8" s="57" t="s">
        <v>68</v>
      </c>
    </row>
    <row r="9" spans="1:3" x14ac:dyDescent="0.35">
      <c r="A9" s="48" t="s">
        <v>54</v>
      </c>
      <c r="B9" s="57" t="s">
        <v>69</v>
      </c>
      <c r="C9" s="57" t="s">
        <v>70</v>
      </c>
    </row>
    <row r="10" spans="1:3" x14ac:dyDescent="0.35">
      <c r="A10" s="48" t="s">
        <v>55</v>
      </c>
      <c r="B10" s="57" t="s">
        <v>71</v>
      </c>
      <c r="C10" s="57" t="s">
        <v>72</v>
      </c>
    </row>
    <row r="11" spans="1:3" x14ac:dyDescent="0.35">
      <c r="A11" s="48" t="s">
        <v>56</v>
      </c>
      <c r="B11" s="57" t="s">
        <v>73</v>
      </c>
      <c r="C11" s="57" t="s">
        <v>74</v>
      </c>
    </row>
    <row r="12" spans="1:3" x14ac:dyDescent="0.35">
      <c r="A12" s="48" t="s">
        <v>49</v>
      </c>
      <c r="B12" s="57" t="s">
        <v>59</v>
      </c>
      <c r="C12" s="57" t="s">
        <v>60</v>
      </c>
    </row>
    <row r="15" spans="1:3" x14ac:dyDescent="0.35">
      <c r="A15" s="60" t="s">
        <v>78</v>
      </c>
      <c r="B15" s="61" t="s">
        <v>80</v>
      </c>
    </row>
    <row r="16" spans="1:3" x14ac:dyDescent="0.35">
      <c r="A16" s="49" t="s">
        <v>75</v>
      </c>
      <c r="B16" s="49" t="s">
        <v>76</v>
      </c>
      <c r="C16" s="62" t="s">
        <v>79</v>
      </c>
    </row>
    <row r="17" spans="1:3" x14ac:dyDescent="0.35">
      <c r="A17" s="59" t="s">
        <v>57</v>
      </c>
      <c r="B17" s="59" t="s">
        <v>58</v>
      </c>
      <c r="C17" s="48" t="str">
        <f>_xlfn.CONCAT(A17, " ", B17)</f>
        <v>Ruby Patel</v>
      </c>
    </row>
    <row r="18" spans="1:3" x14ac:dyDescent="0.35">
      <c r="A18" s="59" t="s">
        <v>59</v>
      </c>
      <c r="B18" s="59" t="s">
        <v>60</v>
      </c>
      <c r="C18" s="48" t="str">
        <f t="shared" ref="C18:C26" si="0">_xlfn.CONCAT(A18, " ", B18)</f>
        <v>Summer Hayward</v>
      </c>
    </row>
    <row r="19" spans="1:3" x14ac:dyDescent="0.35">
      <c r="A19" s="59" t="s">
        <v>61</v>
      </c>
      <c r="B19" s="59" t="s">
        <v>62</v>
      </c>
      <c r="C19" s="48" t="str">
        <f t="shared" si="0"/>
        <v>Devin Huddleston</v>
      </c>
    </row>
    <row r="20" spans="1:3" x14ac:dyDescent="0.35">
      <c r="A20" s="59" t="s">
        <v>63</v>
      </c>
      <c r="B20" s="59" t="s">
        <v>64</v>
      </c>
      <c r="C20" s="48" t="str">
        <f t="shared" si="0"/>
        <v>Mary Parker</v>
      </c>
    </row>
    <row r="21" spans="1:3" x14ac:dyDescent="0.35">
      <c r="A21" s="59" t="s">
        <v>65</v>
      </c>
      <c r="B21" s="59" t="s">
        <v>66</v>
      </c>
      <c r="C21" s="48" t="str">
        <f t="shared" si="0"/>
        <v>Daniel Burke</v>
      </c>
    </row>
    <row r="22" spans="1:3" x14ac:dyDescent="0.35">
      <c r="A22" s="59" t="s">
        <v>67</v>
      </c>
      <c r="B22" s="59" t="s">
        <v>68</v>
      </c>
      <c r="C22" s="48" t="str">
        <f t="shared" si="0"/>
        <v>Fredrick Beveridge</v>
      </c>
    </row>
    <row r="23" spans="1:3" x14ac:dyDescent="0.35">
      <c r="A23" s="59" t="s">
        <v>69</v>
      </c>
      <c r="B23" s="59" t="s">
        <v>70</v>
      </c>
      <c r="C23" s="48" t="str">
        <f t="shared" si="0"/>
        <v>Archer Hort</v>
      </c>
    </row>
    <row r="24" spans="1:3" x14ac:dyDescent="0.35">
      <c r="A24" s="59" t="s">
        <v>71</v>
      </c>
      <c r="B24" s="59" t="s">
        <v>72</v>
      </c>
      <c r="C24" s="48" t="str">
        <f t="shared" si="0"/>
        <v>Evie Flockhart</v>
      </c>
    </row>
    <row r="25" spans="1:3" x14ac:dyDescent="0.35">
      <c r="A25" s="59" t="s">
        <v>73</v>
      </c>
      <c r="B25" s="59" t="s">
        <v>74</v>
      </c>
      <c r="C25" s="48" t="str">
        <f t="shared" si="0"/>
        <v>Faith Greenwood</v>
      </c>
    </row>
    <row r="26" spans="1:3" x14ac:dyDescent="0.35">
      <c r="A26" s="59" t="s">
        <v>59</v>
      </c>
      <c r="B26" s="59" t="s">
        <v>60</v>
      </c>
      <c r="C26" s="48" t="str">
        <f t="shared" si="0"/>
        <v>Summer Hayward</v>
      </c>
    </row>
    <row r="29" spans="1:3" ht="21" x14ac:dyDescent="0.5">
      <c r="A29" s="60" t="s">
        <v>78</v>
      </c>
      <c r="B29" s="63" t="s">
        <v>81</v>
      </c>
    </row>
    <row r="30" spans="1:3" x14ac:dyDescent="0.35">
      <c r="A30" s="49" t="s">
        <v>75</v>
      </c>
      <c r="B30" s="49" t="s">
        <v>76</v>
      </c>
      <c r="C30" s="56" t="s">
        <v>79</v>
      </c>
    </row>
    <row r="31" spans="1:3" x14ac:dyDescent="0.35">
      <c r="A31" s="64" t="s">
        <v>57</v>
      </c>
      <c r="B31" s="64" t="s">
        <v>58</v>
      </c>
      <c r="C31" s="48" t="str">
        <f>A31&amp;" "&amp;B31</f>
        <v>Ruby Patel</v>
      </c>
    </row>
    <row r="32" spans="1:3" x14ac:dyDescent="0.35">
      <c r="A32" s="64" t="s">
        <v>59</v>
      </c>
      <c r="B32" s="64" t="s">
        <v>60</v>
      </c>
      <c r="C32" s="48" t="str">
        <f t="shared" ref="C32:C40" si="1">A32&amp;" "&amp;B32</f>
        <v>Summer Hayward</v>
      </c>
    </row>
    <row r="33" spans="1:3" x14ac:dyDescent="0.35">
      <c r="A33" s="64" t="s">
        <v>61</v>
      </c>
      <c r="B33" s="64" t="s">
        <v>62</v>
      </c>
      <c r="C33" s="48" t="str">
        <f t="shared" si="1"/>
        <v>Devin Huddleston</v>
      </c>
    </row>
    <row r="34" spans="1:3" x14ac:dyDescent="0.35">
      <c r="A34" s="64" t="s">
        <v>63</v>
      </c>
      <c r="B34" s="64" t="s">
        <v>64</v>
      </c>
      <c r="C34" s="48" t="str">
        <f t="shared" si="1"/>
        <v>Mary Parker</v>
      </c>
    </row>
    <row r="35" spans="1:3" x14ac:dyDescent="0.35">
      <c r="A35" s="64" t="s">
        <v>65</v>
      </c>
      <c r="B35" s="64" t="s">
        <v>66</v>
      </c>
      <c r="C35" s="48" t="str">
        <f t="shared" si="1"/>
        <v>Daniel Burke</v>
      </c>
    </row>
    <row r="36" spans="1:3" x14ac:dyDescent="0.35">
      <c r="A36" s="64" t="s">
        <v>67</v>
      </c>
      <c r="B36" s="64" t="s">
        <v>68</v>
      </c>
      <c r="C36" s="48" t="str">
        <f t="shared" si="1"/>
        <v>Fredrick Beveridge</v>
      </c>
    </row>
    <row r="37" spans="1:3" x14ac:dyDescent="0.35">
      <c r="A37" s="64" t="s">
        <v>69</v>
      </c>
      <c r="B37" s="64" t="s">
        <v>70</v>
      </c>
      <c r="C37" s="48" t="str">
        <f t="shared" si="1"/>
        <v>Archer Hort</v>
      </c>
    </row>
    <row r="38" spans="1:3" x14ac:dyDescent="0.35">
      <c r="A38" s="64" t="s">
        <v>71</v>
      </c>
      <c r="B38" s="64" t="s">
        <v>72</v>
      </c>
      <c r="C38" s="48" t="str">
        <f t="shared" si="1"/>
        <v>Evie Flockhart</v>
      </c>
    </row>
    <row r="39" spans="1:3" x14ac:dyDescent="0.35">
      <c r="A39" s="64" t="s">
        <v>73</v>
      </c>
      <c r="B39" s="64" t="s">
        <v>74</v>
      </c>
      <c r="C39" s="48" t="str">
        <f t="shared" si="1"/>
        <v>Faith Greenwood</v>
      </c>
    </row>
    <row r="40" spans="1:3" x14ac:dyDescent="0.35">
      <c r="A40" s="64" t="s">
        <v>59</v>
      </c>
      <c r="B40" s="64" t="s">
        <v>60</v>
      </c>
      <c r="C40" s="48" t="str">
        <f t="shared" si="1"/>
        <v>Summer Hayward</v>
      </c>
    </row>
    <row r="44" spans="1:3" x14ac:dyDescent="0.35">
      <c r="A44" s="60" t="s">
        <v>77</v>
      </c>
      <c r="B44" s="65" t="s">
        <v>82</v>
      </c>
    </row>
    <row r="45" spans="1:3" x14ac:dyDescent="0.35">
      <c r="A45" s="56" t="s">
        <v>47</v>
      </c>
      <c r="B45" s="54" t="s">
        <v>75</v>
      </c>
      <c r="C45" s="54" t="s">
        <v>76</v>
      </c>
    </row>
    <row r="46" spans="1:3" x14ac:dyDescent="0.35">
      <c r="A46" s="48" t="s">
        <v>48</v>
      </c>
      <c r="B46" s="7" t="s">
        <v>57</v>
      </c>
      <c r="C46" s="7" t="s">
        <v>58</v>
      </c>
    </row>
    <row r="47" spans="1:3" x14ac:dyDescent="0.35">
      <c r="A47" s="48" t="s">
        <v>49</v>
      </c>
      <c r="B47" s="7" t="s">
        <v>59</v>
      </c>
      <c r="C47" s="7" t="s">
        <v>60</v>
      </c>
    </row>
    <row r="48" spans="1:3" x14ac:dyDescent="0.35">
      <c r="A48" s="48" t="s">
        <v>50</v>
      </c>
      <c r="B48" s="7" t="s">
        <v>61</v>
      </c>
      <c r="C48" s="7" t="s">
        <v>62</v>
      </c>
    </row>
    <row r="49" spans="1:3" x14ac:dyDescent="0.35">
      <c r="A49" s="48" t="s">
        <v>51</v>
      </c>
      <c r="B49" s="7" t="s">
        <v>63</v>
      </c>
      <c r="C49" s="7" t="s">
        <v>64</v>
      </c>
    </row>
    <row r="50" spans="1:3" x14ac:dyDescent="0.35">
      <c r="A50" s="48" t="s">
        <v>52</v>
      </c>
      <c r="B50" s="7" t="s">
        <v>65</v>
      </c>
      <c r="C50" s="7" t="s">
        <v>66</v>
      </c>
    </row>
    <row r="51" spans="1:3" x14ac:dyDescent="0.35">
      <c r="A51" s="48" t="s">
        <v>53</v>
      </c>
      <c r="B51" s="7" t="s">
        <v>67</v>
      </c>
      <c r="C51" s="7" t="s">
        <v>68</v>
      </c>
    </row>
    <row r="52" spans="1:3" x14ac:dyDescent="0.35">
      <c r="A52" s="48" t="s">
        <v>54</v>
      </c>
      <c r="B52" s="7" t="s">
        <v>69</v>
      </c>
      <c r="C52" s="7" t="s">
        <v>70</v>
      </c>
    </row>
    <row r="53" spans="1:3" x14ac:dyDescent="0.35">
      <c r="A53" s="48" t="s">
        <v>55</v>
      </c>
      <c r="B53" s="7" t="s">
        <v>71</v>
      </c>
      <c r="C53" s="7" t="s">
        <v>72</v>
      </c>
    </row>
    <row r="54" spans="1:3" x14ac:dyDescent="0.35">
      <c r="A54" s="48" t="s">
        <v>56</v>
      </c>
      <c r="B54" s="7" t="s">
        <v>73</v>
      </c>
      <c r="C54" s="7" t="s">
        <v>74</v>
      </c>
    </row>
    <row r="55" spans="1:3" x14ac:dyDescent="0.35">
      <c r="A55" s="48" t="s">
        <v>49</v>
      </c>
      <c r="B55" s="7" t="s">
        <v>59</v>
      </c>
      <c r="C55" s="7" t="s">
        <v>60</v>
      </c>
    </row>
    <row r="58" spans="1:3" x14ac:dyDescent="0.35">
      <c r="A58" s="60" t="s">
        <v>77</v>
      </c>
      <c r="B58" s="65" t="s">
        <v>82</v>
      </c>
    </row>
    <row r="59" spans="1:3" x14ac:dyDescent="0.35">
      <c r="A59" s="56" t="s">
        <v>47</v>
      </c>
      <c r="B59" s="66" t="s">
        <v>83</v>
      </c>
    </row>
    <row r="60" spans="1:3" x14ac:dyDescent="0.35">
      <c r="A60" s="48" t="s">
        <v>48</v>
      </c>
      <c r="B60" s="7" t="s">
        <v>84</v>
      </c>
    </row>
    <row r="61" spans="1:3" x14ac:dyDescent="0.35">
      <c r="A61" s="48" t="s">
        <v>49</v>
      </c>
      <c r="B61" s="7" t="s">
        <v>85</v>
      </c>
    </row>
    <row r="62" spans="1:3" x14ac:dyDescent="0.35">
      <c r="A62" s="48" t="s">
        <v>50</v>
      </c>
      <c r="B62" s="7" t="s">
        <v>86</v>
      </c>
    </row>
    <row r="63" spans="1:3" x14ac:dyDescent="0.35">
      <c r="A63" s="48" t="s">
        <v>51</v>
      </c>
      <c r="B63" s="7" t="s">
        <v>87</v>
      </c>
    </row>
    <row r="64" spans="1:3" x14ac:dyDescent="0.35">
      <c r="A64" s="48" t="s">
        <v>52</v>
      </c>
      <c r="B64" s="7" t="s">
        <v>88</v>
      </c>
    </row>
    <row r="65" spans="1:3" x14ac:dyDescent="0.35">
      <c r="A65" s="48" t="s">
        <v>53</v>
      </c>
      <c r="B65" s="7" t="s">
        <v>89</v>
      </c>
    </row>
    <row r="66" spans="1:3" x14ac:dyDescent="0.35">
      <c r="A66" s="48" t="s">
        <v>54</v>
      </c>
      <c r="B66" s="7" t="s">
        <v>90</v>
      </c>
    </row>
    <row r="67" spans="1:3" x14ac:dyDescent="0.35">
      <c r="A67" s="48" t="s">
        <v>55</v>
      </c>
      <c r="B67" s="7" t="s">
        <v>91</v>
      </c>
    </row>
    <row r="68" spans="1:3" x14ac:dyDescent="0.35">
      <c r="A68" s="48" t="s">
        <v>56</v>
      </c>
      <c r="B68" s="7" t="s">
        <v>92</v>
      </c>
    </row>
    <row r="69" spans="1:3" x14ac:dyDescent="0.35">
      <c r="A69" s="48" t="s">
        <v>49</v>
      </c>
      <c r="B69" s="7" t="s">
        <v>85</v>
      </c>
    </row>
    <row r="72" spans="1:3" x14ac:dyDescent="0.35">
      <c r="A72" s="60" t="s">
        <v>78</v>
      </c>
      <c r="B72" s="65" t="s">
        <v>82</v>
      </c>
    </row>
    <row r="73" spans="1:3" x14ac:dyDescent="0.35">
      <c r="A73" s="49" t="s">
        <v>75</v>
      </c>
      <c r="B73" s="49" t="s">
        <v>76</v>
      </c>
      <c r="C73" s="56" t="s">
        <v>79</v>
      </c>
    </row>
    <row r="74" spans="1:3" x14ac:dyDescent="0.35">
      <c r="A74" s="64" t="s">
        <v>57</v>
      </c>
      <c r="B74" s="64" t="s">
        <v>58</v>
      </c>
      <c r="C74" s="48" t="s">
        <v>48</v>
      </c>
    </row>
    <row r="75" spans="1:3" x14ac:dyDescent="0.35">
      <c r="A75" s="64" t="s">
        <v>59</v>
      </c>
      <c r="B75" s="64" t="s">
        <v>60</v>
      </c>
      <c r="C75" s="48" t="s">
        <v>49</v>
      </c>
    </row>
    <row r="76" spans="1:3" x14ac:dyDescent="0.35">
      <c r="A76" s="64" t="s">
        <v>61</v>
      </c>
      <c r="B76" s="64" t="s">
        <v>62</v>
      </c>
      <c r="C76" s="48" t="s">
        <v>50</v>
      </c>
    </row>
    <row r="77" spans="1:3" x14ac:dyDescent="0.35">
      <c r="A77" s="64" t="s">
        <v>63</v>
      </c>
      <c r="B77" s="64" t="s">
        <v>64</v>
      </c>
      <c r="C77" s="48" t="s">
        <v>51</v>
      </c>
    </row>
    <row r="78" spans="1:3" x14ac:dyDescent="0.35">
      <c r="A78" s="64" t="s">
        <v>65</v>
      </c>
      <c r="B78" s="64" t="s">
        <v>66</v>
      </c>
      <c r="C78" s="48" t="s">
        <v>52</v>
      </c>
    </row>
    <row r="79" spans="1:3" x14ac:dyDescent="0.35">
      <c r="A79" s="64" t="s">
        <v>67</v>
      </c>
      <c r="B79" s="64" t="s">
        <v>68</v>
      </c>
      <c r="C79" s="48" t="s">
        <v>53</v>
      </c>
    </row>
    <row r="80" spans="1:3" x14ac:dyDescent="0.35">
      <c r="A80" s="64" t="s">
        <v>69</v>
      </c>
      <c r="B80" s="64" t="s">
        <v>70</v>
      </c>
      <c r="C80" s="48" t="s">
        <v>54</v>
      </c>
    </row>
    <row r="81" spans="1:3" x14ac:dyDescent="0.35">
      <c r="A81" s="64" t="s">
        <v>71</v>
      </c>
      <c r="B81" s="64" t="s">
        <v>72</v>
      </c>
      <c r="C81" s="48" t="s">
        <v>55</v>
      </c>
    </row>
    <row r="82" spans="1:3" x14ac:dyDescent="0.35">
      <c r="A82" s="64" t="s">
        <v>73</v>
      </c>
      <c r="B82" s="64" t="s">
        <v>74</v>
      </c>
      <c r="C82" s="48" t="s">
        <v>56</v>
      </c>
    </row>
    <row r="83" spans="1:3" x14ac:dyDescent="0.35">
      <c r="A83" s="64" t="s">
        <v>59</v>
      </c>
      <c r="B83" s="64" t="s">
        <v>60</v>
      </c>
      <c r="C83" s="48" t="s">
        <v>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E9744-DAA7-49B3-8CC5-A7117F095CE1}">
  <dimension ref="A1:I14"/>
  <sheetViews>
    <sheetView zoomScale="175" zoomScaleNormal="175" workbookViewId="0">
      <pane xSplit="1" ySplit="1" topLeftCell="B2" activePane="bottomRight" state="frozen"/>
      <selection pane="topRight" activeCell="B1" sqref="B1"/>
      <selection pane="bottomLeft" activeCell="A2" sqref="A2"/>
      <selection pane="bottomRight" activeCell="C17" sqref="C17"/>
    </sheetView>
  </sheetViews>
  <sheetFormatPr defaultRowHeight="14.5" x14ac:dyDescent="0.35"/>
  <cols>
    <col min="1" max="1" width="12.08984375" bestFit="1" customWidth="1"/>
    <col min="2" max="2" width="15.453125" customWidth="1"/>
    <col min="3" max="3" width="11" bestFit="1" customWidth="1"/>
    <col min="4" max="4" width="16.81640625" customWidth="1"/>
    <col min="5" max="5" width="15.1796875" customWidth="1"/>
    <col min="6" max="6" width="16.1796875" customWidth="1"/>
    <col min="7" max="7" width="9.7265625" bestFit="1" customWidth="1"/>
    <col min="8" max="9" width="13.81640625" customWidth="1"/>
    <col min="10" max="10" width="11.453125" customWidth="1"/>
    <col min="11" max="11" width="6.81640625" bestFit="1" customWidth="1"/>
    <col min="12" max="12" width="10.7265625" bestFit="1" customWidth="1"/>
  </cols>
  <sheetData>
    <row r="1" spans="1:9" x14ac:dyDescent="0.35">
      <c r="A1" s="2" t="s">
        <v>27</v>
      </c>
      <c r="B1" s="3" t="s">
        <v>0</v>
      </c>
      <c r="C1" s="2" t="s">
        <v>1</v>
      </c>
      <c r="D1" s="2" t="s">
        <v>2</v>
      </c>
      <c r="E1" s="2" t="s">
        <v>3</v>
      </c>
      <c r="F1" s="2" t="s">
        <v>4</v>
      </c>
      <c r="G1" s="2" t="s">
        <v>5</v>
      </c>
      <c r="H1" s="2" t="s">
        <v>6</v>
      </c>
      <c r="I1" s="2" t="s">
        <v>7</v>
      </c>
    </row>
    <row r="2" spans="1:9" x14ac:dyDescent="0.35">
      <c r="A2" s="7">
        <v>1</v>
      </c>
      <c r="B2" s="8">
        <v>43106</v>
      </c>
      <c r="C2" s="9" t="s">
        <v>8</v>
      </c>
      <c r="D2" s="10" t="s">
        <v>9</v>
      </c>
      <c r="E2" s="11" t="s">
        <v>10</v>
      </c>
      <c r="F2" s="11" t="s">
        <v>93</v>
      </c>
      <c r="G2" s="12">
        <v>95</v>
      </c>
      <c r="H2" s="1">
        <v>1198</v>
      </c>
      <c r="I2" s="13">
        <f>G2*H2</f>
        <v>113810</v>
      </c>
    </row>
    <row r="3" spans="1:9" x14ac:dyDescent="0.35">
      <c r="A3" s="7">
        <v>2</v>
      </c>
      <c r="B3" s="8">
        <v>43123</v>
      </c>
      <c r="C3" s="9" t="s">
        <v>12</v>
      </c>
      <c r="D3" s="10" t="s">
        <v>13</v>
      </c>
      <c r="E3" s="11" t="s">
        <v>14</v>
      </c>
      <c r="F3" s="14" t="s">
        <v>15</v>
      </c>
      <c r="G3" s="15">
        <v>50</v>
      </c>
      <c r="H3" s="1">
        <v>400</v>
      </c>
      <c r="I3" s="13">
        <f t="shared" ref="I3:I11" si="0">G3*H3</f>
        <v>20000</v>
      </c>
    </row>
    <row r="4" spans="1:9" x14ac:dyDescent="0.35">
      <c r="A4" s="7">
        <v>3</v>
      </c>
      <c r="B4" s="8">
        <v>43140</v>
      </c>
      <c r="C4" s="9" t="s">
        <v>12</v>
      </c>
      <c r="D4" s="10" t="s">
        <v>13</v>
      </c>
      <c r="E4" s="11" t="s">
        <v>16</v>
      </c>
      <c r="F4" s="14" t="s">
        <v>93</v>
      </c>
      <c r="G4" s="15">
        <v>36</v>
      </c>
      <c r="H4" s="1">
        <v>1198</v>
      </c>
      <c r="I4" s="13">
        <f t="shared" si="0"/>
        <v>43128</v>
      </c>
    </row>
    <row r="5" spans="1:9" x14ac:dyDescent="0.35">
      <c r="A5" s="7">
        <v>4</v>
      </c>
      <c r="B5" s="8">
        <v>43157</v>
      </c>
      <c r="C5" s="9" t="s">
        <v>12</v>
      </c>
      <c r="D5" s="10" t="s">
        <v>17</v>
      </c>
      <c r="E5" s="11" t="s">
        <v>18</v>
      </c>
      <c r="F5" s="14" t="s">
        <v>19</v>
      </c>
      <c r="G5" s="15">
        <v>27</v>
      </c>
      <c r="H5" s="1">
        <v>225</v>
      </c>
      <c r="I5" s="13">
        <f t="shared" si="0"/>
        <v>6075</v>
      </c>
    </row>
    <row r="6" spans="1:9" x14ac:dyDescent="0.35">
      <c r="A6" s="7">
        <v>5</v>
      </c>
      <c r="B6" s="8">
        <v>43174</v>
      </c>
      <c r="C6" s="9" t="s">
        <v>20</v>
      </c>
      <c r="D6" s="10" t="s">
        <v>17</v>
      </c>
      <c r="E6" s="11" t="s">
        <v>21</v>
      </c>
      <c r="F6" s="14" t="s">
        <v>93</v>
      </c>
      <c r="G6" s="15">
        <v>56</v>
      </c>
      <c r="H6" s="1">
        <v>1198</v>
      </c>
      <c r="I6" s="13">
        <f t="shared" si="0"/>
        <v>67088</v>
      </c>
    </row>
    <row r="7" spans="1:9" x14ac:dyDescent="0.35">
      <c r="A7" s="7">
        <v>6</v>
      </c>
      <c r="B7" s="8">
        <v>43191</v>
      </c>
      <c r="C7" s="9" t="s">
        <v>8</v>
      </c>
      <c r="D7" s="10" t="s">
        <v>9</v>
      </c>
      <c r="E7" s="11" t="s">
        <v>10</v>
      </c>
      <c r="F7" s="14" t="s">
        <v>15</v>
      </c>
      <c r="G7" s="15">
        <v>60</v>
      </c>
      <c r="H7" s="1">
        <v>500</v>
      </c>
      <c r="I7" s="13">
        <f t="shared" si="0"/>
        <v>30000</v>
      </c>
    </row>
    <row r="8" spans="1:9" x14ac:dyDescent="0.35">
      <c r="A8" s="7">
        <v>7</v>
      </c>
      <c r="B8" s="8">
        <v>43208</v>
      </c>
      <c r="C8" s="9" t="s">
        <v>12</v>
      </c>
      <c r="D8" s="11" t="s">
        <v>9</v>
      </c>
      <c r="E8" s="11" t="s">
        <v>22</v>
      </c>
      <c r="F8" s="14" t="s">
        <v>93</v>
      </c>
      <c r="G8" s="15">
        <v>75</v>
      </c>
      <c r="H8" s="1">
        <v>1198</v>
      </c>
      <c r="I8" s="13">
        <f>G8*H8</f>
        <v>89850</v>
      </c>
    </row>
    <row r="9" spans="1:9" x14ac:dyDescent="0.35">
      <c r="A9" s="7">
        <v>8</v>
      </c>
      <c r="B9" s="8">
        <v>43225</v>
      </c>
      <c r="C9" s="9" t="s">
        <v>12</v>
      </c>
      <c r="D9" s="10" t="s">
        <v>13</v>
      </c>
      <c r="E9" s="11" t="s">
        <v>16</v>
      </c>
      <c r="F9" s="14" t="s">
        <v>93</v>
      </c>
      <c r="G9" s="15">
        <v>90</v>
      </c>
      <c r="H9" s="1">
        <v>1198</v>
      </c>
      <c r="I9" s="13">
        <f t="shared" si="0"/>
        <v>107820</v>
      </c>
    </row>
    <row r="10" spans="1:9" x14ac:dyDescent="0.35">
      <c r="A10" s="7">
        <v>9</v>
      </c>
      <c r="B10" s="8">
        <v>43242</v>
      </c>
      <c r="C10" s="9" t="s">
        <v>20</v>
      </c>
      <c r="D10" s="16" t="s">
        <v>23</v>
      </c>
      <c r="E10" s="11" t="s">
        <v>24</v>
      </c>
      <c r="F10" s="14" t="s">
        <v>93</v>
      </c>
      <c r="G10" s="15">
        <v>32</v>
      </c>
      <c r="H10" s="6">
        <v>1198</v>
      </c>
      <c r="I10" s="13">
        <f t="shared" si="0"/>
        <v>38336</v>
      </c>
    </row>
    <row r="11" spans="1:9" x14ac:dyDescent="0.35">
      <c r="A11" s="7">
        <v>10</v>
      </c>
      <c r="B11" s="8">
        <v>43259</v>
      </c>
      <c r="C11" s="9" t="s">
        <v>8</v>
      </c>
      <c r="D11" s="10" t="s">
        <v>9</v>
      </c>
      <c r="E11" s="11" t="s">
        <v>10</v>
      </c>
      <c r="F11" s="14" t="s">
        <v>15</v>
      </c>
      <c r="G11" s="15">
        <v>60</v>
      </c>
      <c r="H11" s="6">
        <v>500</v>
      </c>
      <c r="I11" s="13">
        <f t="shared" si="0"/>
        <v>30000</v>
      </c>
    </row>
    <row r="14" spans="1:9" x14ac:dyDescent="0.35">
      <c r="F14" s="67"/>
    </row>
  </sheetData>
  <autoFilter ref="A1:I11" xr:uid="{BAF55E6E-15CA-42E7-85D6-568C3BCDF33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9753A-372D-4DA9-B377-8667C3990538}">
  <dimension ref="A1:I11"/>
  <sheetViews>
    <sheetView zoomScale="130" zoomScaleNormal="130" workbookViewId="0">
      <pane xSplit="1" ySplit="1" topLeftCell="B2" activePane="bottomRight" state="frozen"/>
      <selection pane="topRight" activeCell="B1" sqref="B1"/>
      <selection pane="bottomLeft" activeCell="A2" sqref="A2"/>
      <selection pane="bottomRight" activeCell="D13" sqref="D13"/>
    </sheetView>
  </sheetViews>
  <sheetFormatPr defaultRowHeight="14.5" x14ac:dyDescent="0.35"/>
  <cols>
    <col min="1" max="1" width="12.08984375" bestFit="1" customWidth="1"/>
    <col min="2" max="2" width="15.453125" customWidth="1"/>
    <col min="3" max="3" width="11" bestFit="1" customWidth="1"/>
    <col min="4" max="4" width="16.81640625" customWidth="1"/>
    <col min="5" max="5" width="15.1796875" customWidth="1"/>
    <col min="6" max="6" width="16.1796875" customWidth="1"/>
    <col min="7" max="7" width="9.7265625" bestFit="1" customWidth="1"/>
    <col min="8" max="9" width="13.81640625" customWidth="1"/>
    <col min="10" max="10" width="11.453125" customWidth="1"/>
    <col min="11" max="11" width="6.81640625" bestFit="1" customWidth="1"/>
    <col min="12" max="12" width="10.7265625" bestFit="1" customWidth="1"/>
  </cols>
  <sheetData>
    <row r="1" spans="1:9" x14ac:dyDescent="0.35">
      <c r="A1" s="2" t="s">
        <v>27</v>
      </c>
      <c r="B1" s="3" t="s">
        <v>0</v>
      </c>
      <c r="C1" s="2" t="s">
        <v>1</v>
      </c>
      <c r="D1" s="2" t="s">
        <v>2</v>
      </c>
      <c r="E1" s="2" t="s">
        <v>3</v>
      </c>
      <c r="F1" s="2" t="s">
        <v>4</v>
      </c>
      <c r="G1" s="2" t="s">
        <v>5</v>
      </c>
      <c r="H1" s="2" t="s">
        <v>6</v>
      </c>
      <c r="I1" s="2" t="s">
        <v>7</v>
      </c>
    </row>
    <row r="2" spans="1:9" x14ac:dyDescent="0.35">
      <c r="A2" s="7">
        <v>1</v>
      </c>
      <c r="B2" s="8">
        <v>43106</v>
      </c>
      <c r="C2" s="9" t="s">
        <v>8</v>
      </c>
      <c r="D2" s="10" t="s">
        <v>9</v>
      </c>
      <c r="E2" s="11" t="s">
        <v>10</v>
      </c>
      <c r="F2" s="11" t="s">
        <v>11</v>
      </c>
      <c r="G2" s="15">
        <v>59</v>
      </c>
      <c r="H2" s="1">
        <v>1198</v>
      </c>
      <c r="I2" s="13">
        <f>G2*H2</f>
        <v>70682</v>
      </c>
    </row>
    <row r="3" spans="1:9" x14ac:dyDescent="0.35">
      <c r="A3" s="7">
        <v>2</v>
      </c>
      <c r="B3" s="8">
        <v>43123</v>
      </c>
      <c r="C3" s="9" t="s">
        <v>12</v>
      </c>
      <c r="D3" s="10" t="s">
        <v>13</v>
      </c>
      <c r="E3" s="11" t="s">
        <v>14</v>
      </c>
      <c r="F3" s="14" t="s">
        <v>15</v>
      </c>
      <c r="G3" s="15">
        <v>50</v>
      </c>
      <c r="H3" s="1">
        <v>400</v>
      </c>
      <c r="I3" s="13">
        <f t="shared" ref="I3:I11" si="0">G3*H3</f>
        <v>20000</v>
      </c>
    </row>
    <row r="4" spans="1:9" x14ac:dyDescent="0.35">
      <c r="A4" s="7">
        <v>3</v>
      </c>
      <c r="B4" s="8">
        <v>43140</v>
      </c>
      <c r="C4" s="9" t="s">
        <v>12</v>
      </c>
      <c r="D4" s="10" t="s">
        <v>13</v>
      </c>
      <c r="E4" s="11" t="s">
        <v>16</v>
      </c>
      <c r="F4" s="14" t="s">
        <v>11</v>
      </c>
      <c r="G4" s="15">
        <v>36</v>
      </c>
      <c r="H4" s="1">
        <v>1198</v>
      </c>
      <c r="I4" s="13">
        <f t="shared" si="0"/>
        <v>43128</v>
      </c>
    </row>
    <row r="5" spans="1:9" x14ac:dyDescent="0.35">
      <c r="A5" s="7">
        <v>4</v>
      </c>
      <c r="B5" s="8">
        <v>43157</v>
      </c>
      <c r="C5" s="9" t="s">
        <v>12</v>
      </c>
      <c r="D5" s="10" t="s">
        <v>17</v>
      </c>
      <c r="E5" s="11" t="s">
        <v>18</v>
      </c>
      <c r="F5" s="14" t="s">
        <v>19</v>
      </c>
      <c r="G5" s="15">
        <v>61</v>
      </c>
      <c r="H5" s="1">
        <v>225</v>
      </c>
      <c r="I5" s="13">
        <f t="shared" si="0"/>
        <v>13725</v>
      </c>
    </row>
    <row r="6" spans="1:9" x14ac:dyDescent="0.35">
      <c r="A6" s="7">
        <v>5</v>
      </c>
      <c r="B6" s="8">
        <v>43174</v>
      </c>
      <c r="C6" s="9" t="s">
        <v>20</v>
      </c>
      <c r="D6" s="10" t="s">
        <v>17</v>
      </c>
      <c r="E6" s="11" t="s">
        <v>21</v>
      </c>
      <c r="F6" s="14" t="s">
        <v>11</v>
      </c>
      <c r="G6" s="15">
        <v>56</v>
      </c>
      <c r="H6" s="1">
        <v>1198</v>
      </c>
      <c r="I6" s="13">
        <f t="shared" si="0"/>
        <v>67088</v>
      </c>
    </row>
    <row r="7" spans="1:9" x14ac:dyDescent="0.35">
      <c r="A7" s="7">
        <v>6</v>
      </c>
      <c r="B7" s="8">
        <v>43191</v>
      </c>
      <c r="C7" s="9" t="s">
        <v>8</v>
      </c>
      <c r="D7" s="10" t="s">
        <v>9</v>
      </c>
      <c r="E7" s="11" t="s">
        <v>10</v>
      </c>
      <c r="F7" s="14" t="s">
        <v>15</v>
      </c>
      <c r="G7" s="15">
        <v>60</v>
      </c>
      <c r="H7" s="1">
        <v>500</v>
      </c>
      <c r="I7" s="13">
        <f t="shared" si="0"/>
        <v>30000</v>
      </c>
    </row>
    <row r="8" spans="1:9" x14ac:dyDescent="0.35">
      <c r="A8" s="7">
        <v>7</v>
      </c>
      <c r="B8" s="8">
        <v>43208</v>
      </c>
      <c r="C8" s="9" t="s">
        <v>12</v>
      </c>
      <c r="D8" s="11" t="s">
        <v>9</v>
      </c>
      <c r="E8" s="11" t="s">
        <v>22</v>
      </c>
      <c r="F8" s="14" t="s">
        <v>11</v>
      </c>
      <c r="G8" s="15">
        <v>75</v>
      </c>
      <c r="H8" s="1">
        <v>1198</v>
      </c>
      <c r="I8" s="13">
        <f>G8*H8</f>
        <v>89850</v>
      </c>
    </row>
    <row r="9" spans="1:9" x14ac:dyDescent="0.35">
      <c r="A9" s="7">
        <v>8</v>
      </c>
      <c r="B9" s="8">
        <v>43225</v>
      </c>
      <c r="C9" s="9" t="s">
        <v>12</v>
      </c>
      <c r="D9" s="10" t="s">
        <v>13</v>
      </c>
      <c r="E9" s="11" t="s">
        <v>16</v>
      </c>
      <c r="F9" s="14" t="s">
        <v>11</v>
      </c>
      <c r="G9" s="15">
        <v>90</v>
      </c>
      <c r="H9" s="1">
        <v>1198</v>
      </c>
      <c r="I9" s="13">
        <f t="shared" si="0"/>
        <v>107820</v>
      </c>
    </row>
    <row r="10" spans="1:9" x14ac:dyDescent="0.35">
      <c r="A10" s="7">
        <v>9</v>
      </c>
      <c r="B10" s="8">
        <v>43242</v>
      </c>
      <c r="C10" s="9" t="s">
        <v>20</v>
      </c>
      <c r="D10" s="16" t="s">
        <v>23</v>
      </c>
      <c r="E10" s="11" t="s">
        <v>24</v>
      </c>
      <c r="F10" s="14" t="s">
        <v>11</v>
      </c>
      <c r="G10" s="15">
        <v>75</v>
      </c>
      <c r="H10" s="6">
        <v>1198</v>
      </c>
      <c r="I10" s="13">
        <f t="shared" si="0"/>
        <v>89850</v>
      </c>
    </row>
    <row r="11" spans="1:9" x14ac:dyDescent="0.35">
      <c r="A11" s="7">
        <v>10</v>
      </c>
      <c r="B11" s="8">
        <v>43259</v>
      </c>
      <c r="C11" s="9" t="s">
        <v>8</v>
      </c>
      <c r="D11" s="10" t="s">
        <v>9</v>
      </c>
      <c r="E11" s="11" t="s">
        <v>10</v>
      </c>
      <c r="F11" s="14" t="s">
        <v>15</v>
      </c>
      <c r="G11" s="15">
        <v>60</v>
      </c>
      <c r="H11" s="6">
        <v>500</v>
      </c>
      <c r="I11" s="13">
        <f t="shared" si="0"/>
        <v>30000</v>
      </c>
    </row>
  </sheetData>
  <autoFilter ref="A1:I11" xr:uid="{BAF55E6E-15CA-42E7-85D6-568C3BCDF332}"/>
  <conditionalFormatting sqref="C1:C1048576">
    <cfRule type="cellIs" dxfId="3" priority="4" operator="equal">
      <formula>"East"</formula>
    </cfRule>
  </conditionalFormatting>
  <conditionalFormatting sqref="G1:G1048576">
    <cfRule type="cellIs" dxfId="2" priority="3" operator="greaterThan">
      <formula>60</formula>
    </cfRule>
  </conditionalFormatting>
  <conditionalFormatting sqref="H2:H11">
    <cfRule type="colorScale" priority="1">
      <colorScale>
        <cfvo type="min"/>
        <cfvo type="percentile" val="50"/>
        <cfvo type="max"/>
        <color rgb="FFF8696B"/>
        <color rgb="FFFFEB84"/>
        <color rgb="FF63BE7B"/>
      </colorScale>
    </cfRule>
  </conditionalFormatting>
  <conditionalFormatting sqref="I2:I11">
    <cfRule type="dataBar" priority="2">
      <dataBar>
        <cfvo type="min"/>
        <cfvo type="max"/>
        <color rgb="FFFF555A"/>
      </dataBar>
      <extLst>
        <ext xmlns:x14="http://schemas.microsoft.com/office/spreadsheetml/2009/9/main" uri="{B025F937-C7B1-47D3-B67F-A62EFF666E3E}">
          <x14:id>{CF9E2312-C3A1-4143-A4B3-AD7C5E6C4E41}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F9E2312-C3A1-4143-A4B3-AD7C5E6C4E41}">
            <x14:dataBar minLength="0" maxLength="100" gradient="0">
              <x14:cfvo type="autoMin"/>
              <x14:cfvo type="autoMax"/>
              <x14:negativeFillColor rgb="FFFF0000"/>
              <x14:axisColor rgb="FF000000"/>
            </x14:dataBar>
          </x14:cfRule>
          <xm:sqref>I2:I11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572E3-F2A2-4B16-BDC5-0DBA82B360DD}">
  <dimension ref="A1:I24"/>
  <sheetViews>
    <sheetView zoomScale="130" zoomScaleNormal="130" workbookViewId="0">
      <pane xSplit="1" ySplit="1" topLeftCell="B2" activePane="bottomRight" state="frozen"/>
      <selection pane="topRight" activeCell="B1" sqref="B1"/>
      <selection pane="bottomLeft" activeCell="A2" sqref="A2"/>
      <selection pane="bottomRight" activeCell="L21" sqref="L21"/>
    </sheetView>
  </sheetViews>
  <sheetFormatPr defaultRowHeight="14.5" x14ac:dyDescent="0.35"/>
  <cols>
    <col min="1" max="1" width="12.08984375" bestFit="1" customWidth="1"/>
    <col min="2" max="2" width="15.453125" customWidth="1"/>
    <col min="3" max="3" width="11" bestFit="1" customWidth="1"/>
    <col min="4" max="4" width="16.81640625" customWidth="1"/>
    <col min="5" max="5" width="15.1796875" customWidth="1"/>
    <col min="6" max="6" width="16.1796875" customWidth="1"/>
    <col min="7" max="7" width="9.7265625" bestFit="1" customWidth="1"/>
    <col min="8" max="9" width="13.81640625" customWidth="1"/>
    <col min="10" max="10" width="11.453125" customWidth="1"/>
    <col min="11" max="11" width="6.81640625" bestFit="1" customWidth="1"/>
    <col min="12" max="12" width="10.7265625" bestFit="1" customWidth="1"/>
  </cols>
  <sheetData>
    <row r="1" spans="1:9" x14ac:dyDescent="0.35">
      <c r="A1" s="2" t="s">
        <v>27</v>
      </c>
      <c r="B1" s="3" t="s">
        <v>0</v>
      </c>
      <c r="C1" s="2" t="s">
        <v>1</v>
      </c>
      <c r="D1" s="2" t="s">
        <v>2</v>
      </c>
      <c r="E1" s="2" t="s">
        <v>3</v>
      </c>
      <c r="F1" s="2" t="s">
        <v>4</v>
      </c>
      <c r="G1" s="2" t="s">
        <v>5</v>
      </c>
      <c r="H1" s="2" t="s">
        <v>6</v>
      </c>
      <c r="I1" s="2" t="s">
        <v>7</v>
      </c>
    </row>
    <row r="2" spans="1:9" x14ac:dyDescent="0.35">
      <c r="A2" s="7">
        <v>1</v>
      </c>
      <c r="B2" s="8">
        <v>43106</v>
      </c>
      <c r="C2" s="9" t="s">
        <v>8</v>
      </c>
      <c r="D2" s="10" t="s">
        <v>9</v>
      </c>
      <c r="E2" s="11" t="s">
        <v>10</v>
      </c>
      <c r="F2" s="14" t="s">
        <v>11</v>
      </c>
      <c r="G2" s="15">
        <v>95</v>
      </c>
      <c r="H2" s="1">
        <v>1198</v>
      </c>
      <c r="I2" s="13">
        <f>G2*H2</f>
        <v>113810</v>
      </c>
    </row>
    <row r="3" spans="1:9" x14ac:dyDescent="0.35">
      <c r="A3" s="7">
        <v>2</v>
      </c>
      <c r="B3" s="8">
        <v>43123</v>
      </c>
      <c r="C3" s="9" t="s">
        <v>12</v>
      </c>
      <c r="D3" s="10" t="s">
        <v>13</v>
      </c>
      <c r="E3" s="11" t="s">
        <v>14</v>
      </c>
      <c r="F3" s="14" t="s">
        <v>15</v>
      </c>
      <c r="G3" s="15">
        <v>50</v>
      </c>
      <c r="H3" s="1">
        <v>400</v>
      </c>
      <c r="I3" s="13">
        <f t="shared" ref="I3:I11" si="0">G3*H3</f>
        <v>20000</v>
      </c>
    </row>
    <row r="4" spans="1:9" x14ac:dyDescent="0.35">
      <c r="A4" s="7">
        <v>3</v>
      </c>
      <c r="B4" s="8">
        <v>43140</v>
      </c>
      <c r="C4" s="9" t="s">
        <v>8</v>
      </c>
      <c r="D4" s="10" t="s">
        <v>13</v>
      </c>
      <c r="E4" s="11" t="s">
        <v>16</v>
      </c>
      <c r="F4" s="14" t="s">
        <v>11</v>
      </c>
      <c r="G4" s="15">
        <v>36</v>
      </c>
      <c r="H4" s="1">
        <v>1198</v>
      </c>
      <c r="I4" s="13">
        <f t="shared" si="0"/>
        <v>43128</v>
      </c>
    </row>
    <row r="5" spans="1:9" x14ac:dyDescent="0.35">
      <c r="A5" s="7">
        <v>4</v>
      </c>
      <c r="B5" s="8">
        <v>43157</v>
      </c>
      <c r="C5" s="9" t="s">
        <v>12</v>
      </c>
      <c r="D5" s="10" t="s">
        <v>17</v>
      </c>
      <c r="E5" s="11" t="s">
        <v>18</v>
      </c>
      <c r="F5" s="14" t="s">
        <v>19</v>
      </c>
      <c r="G5" s="15">
        <v>27</v>
      </c>
      <c r="H5" s="1">
        <v>225</v>
      </c>
      <c r="I5" s="13">
        <f t="shared" si="0"/>
        <v>6075</v>
      </c>
    </row>
    <row r="6" spans="1:9" x14ac:dyDescent="0.35">
      <c r="A6" s="7">
        <v>5</v>
      </c>
      <c r="B6" s="8">
        <v>43174</v>
      </c>
      <c r="C6" s="9" t="s">
        <v>20</v>
      </c>
      <c r="D6" s="10" t="s">
        <v>17</v>
      </c>
      <c r="E6" s="11" t="s">
        <v>21</v>
      </c>
      <c r="F6" s="14" t="s">
        <v>11</v>
      </c>
      <c r="G6" s="15">
        <v>56</v>
      </c>
      <c r="H6" s="1">
        <v>1198</v>
      </c>
      <c r="I6" s="13">
        <f t="shared" si="0"/>
        <v>67088</v>
      </c>
    </row>
    <row r="7" spans="1:9" x14ac:dyDescent="0.35">
      <c r="A7" s="7">
        <v>6</v>
      </c>
      <c r="B7" s="8">
        <v>43191</v>
      </c>
      <c r="C7" s="9" t="s">
        <v>20</v>
      </c>
      <c r="D7" s="10" t="s">
        <v>9</v>
      </c>
      <c r="E7" s="11" t="s">
        <v>10</v>
      </c>
      <c r="F7" s="14" t="s">
        <v>15</v>
      </c>
      <c r="G7" s="15">
        <v>60</v>
      </c>
      <c r="H7" s="1">
        <v>500</v>
      </c>
      <c r="I7" s="13">
        <f t="shared" si="0"/>
        <v>30000</v>
      </c>
    </row>
    <row r="8" spans="1:9" x14ac:dyDescent="0.35">
      <c r="A8" s="7">
        <v>7</v>
      </c>
      <c r="B8" s="8">
        <v>43208</v>
      </c>
      <c r="C8" s="9" t="s">
        <v>12</v>
      </c>
      <c r="D8" s="10" t="s">
        <v>9</v>
      </c>
      <c r="E8" s="11" t="s">
        <v>22</v>
      </c>
      <c r="F8" s="14" t="s">
        <v>11</v>
      </c>
      <c r="G8" s="15">
        <v>75</v>
      </c>
      <c r="H8" s="1">
        <v>1198</v>
      </c>
      <c r="I8" s="13">
        <f>G8*H8</f>
        <v>89850</v>
      </c>
    </row>
    <row r="9" spans="1:9" x14ac:dyDescent="0.35">
      <c r="A9" s="7">
        <v>8</v>
      </c>
      <c r="B9" s="8">
        <v>43225</v>
      </c>
      <c r="C9" s="9" t="s">
        <v>12</v>
      </c>
      <c r="D9" s="10" t="s">
        <v>13</v>
      </c>
      <c r="E9" s="11" t="s">
        <v>16</v>
      </c>
      <c r="F9" s="14" t="s">
        <v>11</v>
      </c>
      <c r="G9" s="15">
        <v>90</v>
      </c>
      <c r="H9" s="1">
        <v>1198</v>
      </c>
      <c r="I9" s="13">
        <f t="shared" si="0"/>
        <v>107820</v>
      </c>
    </row>
    <row r="10" spans="1:9" x14ac:dyDescent="0.35">
      <c r="A10" s="7">
        <v>9</v>
      </c>
      <c r="B10" s="8">
        <v>43242</v>
      </c>
      <c r="C10" s="9" t="s">
        <v>20</v>
      </c>
      <c r="D10" s="10" t="s">
        <v>23</v>
      </c>
      <c r="E10" s="11" t="s">
        <v>24</v>
      </c>
      <c r="F10" s="14" t="s">
        <v>11</v>
      </c>
      <c r="G10" s="15">
        <v>32</v>
      </c>
      <c r="H10" s="1">
        <v>1198</v>
      </c>
      <c r="I10" s="13">
        <f t="shared" si="0"/>
        <v>38336</v>
      </c>
    </row>
    <row r="11" spans="1:9" x14ac:dyDescent="0.35">
      <c r="A11" s="7">
        <v>10</v>
      </c>
      <c r="B11" s="8">
        <v>43259</v>
      </c>
      <c r="C11" s="9" t="s">
        <v>8</v>
      </c>
      <c r="D11" s="10" t="s">
        <v>9</v>
      </c>
      <c r="E11" s="11" t="s">
        <v>10</v>
      </c>
      <c r="F11" s="14" t="s">
        <v>15</v>
      </c>
      <c r="G11" s="15">
        <v>60</v>
      </c>
      <c r="H11" s="1">
        <v>500</v>
      </c>
      <c r="I11" s="13">
        <f t="shared" si="0"/>
        <v>30000</v>
      </c>
    </row>
    <row r="14" spans="1:9" x14ac:dyDescent="0.35">
      <c r="A14" s="2" t="s">
        <v>27</v>
      </c>
      <c r="B14" s="3" t="s">
        <v>0</v>
      </c>
      <c r="C14" s="2" t="s">
        <v>1</v>
      </c>
      <c r="D14" s="2" t="s">
        <v>2</v>
      </c>
      <c r="E14" s="2" t="s">
        <v>3</v>
      </c>
      <c r="F14" s="2" t="s">
        <v>4</v>
      </c>
      <c r="G14" s="2" t="s">
        <v>5</v>
      </c>
      <c r="H14" s="2" t="s">
        <v>6</v>
      </c>
      <c r="I14" s="2" t="s">
        <v>7</v>
      </c>
    </row>
    <row r="15" spans="1:9" x14ac:dyDescent="0.35">
      <c r="A15" s="7">
        <v>1</v>
      </c>
      <c r="B15" s="8">
        <v>43106</v>
      </c>
      <c r="C15" s="9" t="s">
        <v>8</v>
      </c>
      <c r="D15" s="10" t="s">
        <v>9</v>
      </c>
      <c r="E15" s="11" t="s">
        <v>10</v>
      </c>
      <c r="F15" s="14" t="s">
        <v>11</v>
      </c>
      <c r="G15" s="15">
        <v>95</v>
      </c>
      <c r="H15" s="1">
        <v>1198</v>
      </c>
      <c r="I15" s="13">
        <f>G15*H15</f>
        <v>113810</v>
      </c>
    </row>
    <row r="16" spans="1:9" x14ac:dyDescent="0.35">
      <c r="A16" s="7">
        <v>2</v>
      </c>
      <c r="B16" s="8">
        <v>43123</v>
      </c>
      <c r="C16" s="9" t="s">
        <v>12</v>
      </c>
      <c r="D16" s="10" t="s">
        <v>13</v>
      </c>
      <c r="E16" s="11" t="s">
        <v>14</v>
      </c>
      <c r="F16" s="14" t="s">
        <v>15</v>
      </c>
      <c r="G16" s="15">
        <v>50</v>
      </c>
      <c r="H16" s="1">
        <v>400</v>
      </c>
      <c r="I16" s="13">
        <f t="shared" ref="I16:I20" si="1">G16*H16</f>
        <v>20000</v>
      </c>
    </row>
    <row r="17" spans="1:9" x14ac:dyDescent="0.35">
      <c r="A17" s="7">
        <v>3</v>
      </c>
      <c r="B17" s="8">
        <v>43140</v>
      </c>
      <c r="C17" s="9" t="s">
        <v>8</v>
      </c>
      <c r="D17" s="10" t="s">
        <v>13</v>
      </c>
      <c r="E17" s="11" t="s">
        <v>16</v>
      </c>
      <c r="F17" s="14" t="s">
        <v>11</v>
      </c>
      <c r="G17" s="15">
        <v>36</v>
      </c>
      <c r="H17" s="1">
        <v>1198</v>
      </c>
      <c r="I17" s="13">
        <f t="shared" si="1"/>
        <v>43128</v>
      </c>
    </row>
    <row r="18" spans="1:9" x14ac:dyDescent="0.35">
      <c r="A18" s="7">
        <v>4</v>
      </c>
      <c r="B18" s="8">
        <v>43157</v>
      </c>
      <c r="C18" s="9" t="s">
        <v>12</v>
      </c>
      <c r="D18" s="10" t="s">
        <v>17</v>
      </c>
      <c r="E18" s="11" t="s">
        <v>18</v>
      </c>
      <c r="F18" s="14" t="s">
        <v>19</v>
      </c>
      <c r="G18" s="15">
        <v>27</v>
      </c>
      <c r="H18" s="1">
        <v>225</v>
      </c>
      <c r="I18" s="13">
        <f t="shared" si="1"/>
        <v>6075</v>
      </c>
    </row>
    <row r="19" spans="1:9" x14ac:dyDescent="0.35">
      <c r="A19" s="7">
        <v>5</v>
      </c>
      <c r="B19" s="8">
        <v>43174</v>
      </c>
      <c r="C19" s="9" t="s">
        <v>20</v>
      </c>
      <c r="D19" s="10" t="s">
        <v>17</v>
      </c>
      <c r="E19" s="11" t="s">
        <v>21</v>
      </c>
      <c r="F19" s="14" t="s">
        <v>11</v>
      </c>
      <c r="G19" s="15">
        <v>56</v>
      </c>
      <c r="H19" s="1">
        <v>1198</v>
      </c>
      <c r="I19" s="13">
        <f t="shared" si="1"/>
        <v>67088</v>
      </c>
    </row>
    <row r="20" spans="1:9" x14ac:dyDescent="0.35">
      <c r="A20" s="7">
        <v>6</v>
      </c>
      <c r="B20" s="8">
        <v>43191</v>
      </c>
      <c r="C20" s="9" t="s">
        <v>20</v>
      </c>
      <c r="D20" s="10" t="s">
        <v>9</v>
      </c>
      <c r="E20" s="11" t="s">
        <v>10</v>
      </c>
      <c r="F20" s="14" t="s">
        <v>15</v>
      </c>
      <c r="G20" s="15">
        <v>60</v>
      </c>
      <c r="H20" s="1">
        <v>500</v>
      </c>
      <c r="I20" s="13">
        <f t="shared" si="1"/>
        <v>30000</v>
      </c>
    </row>
    <row r="21" spans="1:9" x14ac:dyDescent="0.35">
      <c r="A21" s="7">
        <v>7</v>
      </c>
      <c r="B21" s="8">
        <v>43208</v>
      </c>
      <c r="C21" s="9" t="s">
        <v>12</v>
      </c>
      <c r="D21" s="10" t="s">
        <v>9</v>
      </c>
      <c r="E21" s="11" t="s">
        <v>22</v>
      </c>
      <c r="F21" s="14" t="s">
        <v>11</v>
      </c>
      <c r="G21" s="15">
        <v>75</v>
      </c>
      <c r="H21" s="1">
        <v>1198</v>
      </c>
      <c r="I21" s="13">
        <f>G21*H21</f>
        <v>89850</v>
      </c>
    </row>
    <row r="22" spans="1:9" x14ac:dyDescent="0.35">
      <c r="A22" s="7">
        <v>8</v>
      </c>
      <c r="B22" s="8">
        <v>43225</v>
      </c>
      <c r="C22" s="9" t="s">
        <v>12</v>
      </c>
      <c r="D22" s="10" t="s">
        <v>13</v>
      </c>
      <c r="E22" s="11" t="s">
        <v>16</v>
      </c>
      <c r="F22" s="14" t="s">
        <v>11</v>
      </c>
      <c r="G22" s="15">
        <v>90</v>
      </c>
      <c r="H22" s="1">
        <v>1198</v>
      </c>
      <c r="I22" s="13">
        <f t="shared" ref="I22:I24" si="2">G22*H22</f>
        <v>107820</v>
      </c>
    </row>
    <row r="23" spans="1:9" x14ac:dyDescent="0.35">
      <c r="A23" s="7">
        <v>9</v>
      </c>
      <c r="B23" s="8">
        <v>43242</v>
      </c>
      <c r="C23" s="9" t="s">
        <v>20</v>
      </c>
      <c r="D23" s="10" t="s">
        <v>23</v>
      </c>
      <c r="E23" s="11" t="s">
        <v>24</v>
      </c>
      <c r="F23" s="14" t="s">
        <v>11</v>
      </c>
      <c r="G23" s="15">
        <v>32</v>
      </c>
      <c r="H23" s="1">
        <v>1198</v>
      </c>
      <c r="I23" s="13">
        <f t="shared" si="2"/>
        <v>38336</v>
      </c>
    </row>
    <row r="24" spans="1:9" x14ac:dyDescent="0.35">
      <c r="A24" s="7">
        <v>10</v>
      </c>
      <c r="B24" s="8">
        <v>43259</v>
      </c>
      <c r="C24" s="9" t="s">
        <v>8</v>
      </c>
      <c r="D24" s="10" t="s">
        <v>9</v>
      </c>
      <c r="E24" s="11" t="s">
        <v>10</v>
      </c>
      <c r="F24" s="14" t="s">
        <v>15</v>
      </c>
      <c r="G24" s="15">
        <v>60</v>
      </c>
      <c r="H24" s="1">
        <v>500</v>
      </c>
      <c r="I24" s="13">
        <f t="shared" si="2"/>
        <v>30000</v>
      </c>
    </row>
  </sheetData>
  <autoFilter ref="A1:I11" xr:uid="{BAF55E6E-15CA-42E7-85D6-568C3BCDF332}"/>
  <conditionalFormatting sqref="A2:I11">
    <cfRule type="expression" dxfId="1" priority="3">
      <formula>$C2="East"</formula>
    </cfRule>
  </conditionalFormatting>
  <conditionalFormatting sqref="A15:I24">
    <cfRule type="expression" dxfId="0" priority="1">
      <formula>$D15="Martha"</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46C1D-432E-4F01-AFED-30FE009EF2AE}">
  <dimension ref="A1:E5"/>
  <sheetViews>
    <sheetView workbookViewId="0">
      <selection activeCell="B13" sqref="B13"/>
    </sheetView>
  </sheetViews>
  <sheetFormatPr defaultRowHeight="14.5" x14ac:dyDescent="0.35"/>
  <cols>
    <col min="1" max="1" width="14.90625" bestFit="1" customWidth="1"/>
    <col min="2" max="2" width="15.26953125" bestFit="1" customWidth="1"/>
    <col min="3" max="5" width="11.7265625" bestFit="1" customWidth="1"/>
  </cols>
  <sheetData>
    <row r="1" spans="1:5" x14ac:dyDescent="0.35">
      <c r="A1" s="68" t="s">
        <v>2</v>
      </c>
      <c r="B1" t="s">
        <v>97</v>
      </c>
    </row>
    <row r="3" spans="1:5" x14ac:dyDescent="0.35">
      <c r="B3" s="68" t="s">
        <v>94</v>
      </c>
    </row>
    <row r="4" spans="1:5" x14ac:dyDescent="0.35">
      <c r="B4" t="s">
        <v>12</v>
      </c>
      <c r="C4" t="s">
        <v>8</v>
      </c>
      <c r="D4" t="s">
        <v>20</v>
      </c>
      <c r="E4" t="s">
        <v>95</v>
      </c>
    </row>
    <row r="5" spans="1:5" x14ac:dyDescent="0.35">
      <c r="A5" t="s">
        <v>96</v>
      </c>
      <c r="B5" s="35">
        <v>266873</v>
      </c>
      <c r="C5" s="35">
        <v>173810</v>
      </c>
      <c r="D5" s="35">
        <v>105424</v>
      </c>
      <c r="E5" s="35">
        <v>546107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FC949-FF65-4FAC-99E6-4779F4BD350B}">
  <dimension ref="A1:B6"/>
  <sheetViews>
    <sheetView workbookViewId="0">
      <selection activeCell="K10" sqref="K10"/>
    </sheetView>
  </sheetViews>
  <sheetFormatPr defaultRowHeight="14.5" x14ac:dyDescent="0.35"/>
  <cols>
    <col min="1" max="1" width="12.36328125" bestFit="1" customWidth="1"/>
    <col min="2" max="2" width="18" bestFit="1" customWidth="1"/>
    <col min="3" max="3" width="8.6328125" bestFit="1" customWidth="1"/>
    <col min="4" max="4" width="7.08984375" bestFit="1" customWidth="1"/>
    <col min="5" max="5" width="7.7265625" bestFit="1" customWidth="1"/>
    <col min="6" max="6" width="10.7265625" bestFit="1" customWidth="1"/>
  </cols>
  <sheetData>
    <row r="1" spans="1:2" x14ac:dyDescent="0.35">
      <c r="A1" s="68" t="s">
        <v>99</v>
      </c>
      <c r="B1" t="s">
        <v>98</v>
      </c>
    </row>
    <row r="2" spans="1:2" x14ac:dyDescent="0.35">
      <c r="A2" s="69" t="s">
        <v>23</v>
      </c>
      <c r="B2" s="35">
        <v>38336</v>
      </c>
    </row>
    <row r="3" spans="1:2" x14ac:dyDescent="0.35">
      <c r="A3" s="69" t="s">
        <v>13</v>
      </c>
      <c r="B3" s="35">
        <v>56982.666666666664</v>
      </c>
    </row>
    <row r="4" spans="1:2" x14ac:dyDescent="0.35">
      <c r="A4" s="69" t="s">
        <v>9</v>
      </c>
      <c r="B4" s="35">
        <v>65915</v>
      </c>
    </row>
    <row r="5" spans="1:2" x14ac:dyDescent="0.35">
      <c r="A5" s="69" t="s">
        <v>17</v>
      </c>
      <c r="B5" s="35">
        <v>36581.5</v>
      </c>
    </row>
    <row r="6" spans="1:2" x14ac:dyDescent="0.35">
      <c r="A6" s="69" t="s">
        <v>95</v>
      </c>
      <c r="B6" s="35">
        <v>54610.7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91EDA-CBF8-43ED-8A9F-D32A99E1DA80}">
  <sheetPr>
    <tabColor rgb="FF6CF894"/>
  </sheetPr>
  <dimension ref="A1:I11"/>
  <sheetViews>
    <sheetView zoomScale="130" zoomScaleNormal="130" workbookViewId="0">
      <pane xSplit="1" ySplit="1" topLeftCell="B2" activePane="bottomRight" state="frozen"/>
      <selection pane="topRight" activeCell="B1" sqref="B1"/>
      <selection pane="bottomLeft" activeCell="A2" sqref="A2"/>
      <selection pane="bottomRight" activeCell="F21" sqref="F21"/>
    </sheetView>
  </sheetViews>
  <sheetFormatPr defaultRowHeight="14.5" x14ac:dyDescent="0.35"/>
  <cols>
    <col min="1" max="1" width="12.08984375" bestFit="1" customWidth="1"/>
    <col min="2" max="2" width="15.453125" customWidth="1"/>
    <col min="3" max="3" width="11" bestFit="1" customWidth="1"/>
    <col min="4" max="4" width="16.81640625" customWidth="1"/>
    <col min="5" max="5" width="15.1796875" customWidth="1"/>
    <col min="6" max="6" width="16.1796875" customWidth="1"/>
    <col min="7" max="7" width="9.7265625" bestFit="1" customWidth="1"/>
    <col min="8" max="9" width="13.81640625" customWidth="1"/>
    <col min="10" max="10" width="11.453125" customWidth="1"/>
    <col min="11" max="11" width="6.81640625" bestFit="1" customWidth="1"/>
    <col min="12" max="12" width="10.7265625" bestFit="1" customWidth="1"/>
  </cols>
  <sheetData>
    <row r="1" spans="1:9" x14ac:dyDescent="0.35">
      <c r="A1" s="2" t="s">
        <v>27</v>
      </c>
      <c r="B1" s="3" t="s">
        <v>0</v>
      </c>
      <c r="C1" s="2" t="s">
        <v>1</v>
      </c>
      <c r="D1" s="2" t="s">
        <v>2</v>
      </c>
      <c r="E1" s="2" t="s">
        <v>3</v>
      </c>
      <c r="F1" s="2" t="s">
        <v>4</v>
      </c>
      <c r="G1" s="2" t="s">
        <v>5</v>
      </c>
      <c r="H1" s="2" t="s">
        <v>6</v>
      </c>
      <c r="I1" s="2" t="s">
        <v>7</v>
      </c>
    </row>
    <row r="2" spans="1:9" x14ac:dyDescent="0.35">
      <c r="A2" s="7">
        <v>1</v>
      </c>
      <c r="B2" s="8">
        <v>43106</v>
      </c>
      <c r="C2" s="9" t="s">
        <v>8</v>
      </c>
      <c r="D2" s="10" t="s">
        <v>9</v>
      </c>
      <c r="E2" s="11" t="s">
        <v>10</v>
      </c>
      <c r="F2" s="11" t="s">
        <v>11</v>
      </c>
      <c r="G2" s="12">
        <v>95</v>
      </c>
      <c r="H2" s="1">
        <v>1198</v>
      </c>
      <c r="I2" s="13">
        <f>G2*H2</f>
        <v>113810</v>
      </c>
    </row>
    <row r="3" spans="1:9" x14ac:dyDescent="0.35">
      <c r="A3" s="7">
        <v>2</v>
      </c>
      <c r="B3" s="8">
        <v>43123</v>
      </c>
      <c r="C3" s="9" t="s">
        <v>12</v>
      </c>
      <c r="D3" s="10" t="s">
        <v>13</v>
      </c>
      <c r="E3" s="11" t="s">
        <v>14</v>
      </c>
      <c r="F3" s="14" t="s">
        <v>15</v>
      </c>
      <c r="G3" s="15">
        <v>50</v>
      </c>
      <c r="H3" s="1">
        <v>400</v>
      </c>
      <c r="I3" s="13">
        <f t="shared" ref="I3:I11" si="0">G3*H3</f>
        <v>20000</v>
      </c>
    </row>
    <row r="4" spans="1:9" x14ac:dyDescent="0.35">
      <c r="A4" s="7">
        <v>3</v>
      </c>
      <c r="B4" s="8">
        <v>43140</v>
      </c>
      <c r="C4" s="9" t="s">
        <v>12</v>
      </c>
      <c r="D4" s="10" t="s">
        <v>13</v>
      </c>
      <c r="E4" s="11" t="s">
        <v>16</v>
      </c>
      <c r="F4" s="14" t="s">
        <v>11</v>
      </c>
      <c r="G4" s="15">
        <v>36</v>
      </c>
      <c r="H4" s="1">
        <v>1198</v>
      </c>
      <c r="I4" s="13">
        <f t="shared" si="0"/>
        <v>43128</v>
      </c>
    </row>
    <row r="5" spans="1:9" x14ac:dyDescent="0.35">
      <c r="A5" s="7">
        <v>4</v>
      </c>
      <c r="B5" s="8">
        <v>43157</v>
      </c>
      <c r="C5" s="9" t="s">
        <v>12</v>
      </c>
      <c r="D5" s="10" t="s">
        <v>17</v>
      </c>
      <c r="E5" s="11" t="s">
        <v>18</v>
      </c>
      <c r="F5" s="14" t="s">
        <v>19</v>
      </c>
      <c r="G5" s="15">
        <v>27</v>
      </c>
      <c r="H5" s="1">
        <v>225</v>
      </c>
      <c r="I5" s="13">
        <f t="shared" si="0"/>
        <v>6075</v>
      </c>
    </row>
    <row r="6" spans="1:9" x14ac:dyDescent="0.35">
      <c r="A6" s="7">
        <v>5</v>
      </c>
      <c r="B6" s="8">
        <v>43174</v>
      </c>
      <c r="C6" s="9" t="s">
        <v>20</v>
      </c>
      <c r="D6" s="10" t="s">
        <v>17</v>
      </c>
      <c r="E6" s="11" t="s">
        <v>21</v>
      </c>
      <c r="F6" s="14" t="s">
        <v>11</v>
      </c>
      <c r="G6" s="15">
        <v>56</v>
      </c>
      <c r="H6" s="1">
        <v>1198</v>
      </c>
      <c r="I6" s="13">
        <f t="shared" si="0"/>
        <v>67088</v>
      </c>
    </row>
    <row r="7" spans="1:9" x14ac:dyDescent="0.35">
      <c r="A7" s="7">
        <v>6</v>
      </c>
      <c r="B7" s="8">
        <v>43191</v>
      </c>
      <c r="C7" s="9" t="s">
        <v>8</v>
      </c>
      <c r="D7" s="10" t="s">
        <v>9</v>
      </c>
      <c r="E7" s="11" t="s">
        <v>10</v>
      </c>
      <c r="F7" s="14" t="s">
        <v>15</v>
      </c>
      <c r="G7" s="15">
        <v>60</v>
      </c>
      <c r="H7" s="1">
        <v>500</v>
      </c>
      <c r="I7" s="13">
        <f t="shared" si="0"/>
        <v>30000</v>
      </c>
    </row>
    <row r="8" spans="1:9" x14ac:dyDescent="0.35">
      <c r="A8" s="7">
        <v>7</v>
      </c>
      <c r="B8" s="8">
        <v>43208</v>
      </c>
      <c r="C8" s="9" t="s">
        <v>12</v>
      </c>
      <c r="D8" s="11" t="s">
        <v>9</v>
      </c>
      <c r="E8" s="11" t="s">
        <v>22</v>
      </c>
      <c r="F8" s="14" t="s">
        <v>11</v>
      </c>
      <c r="G8" s="15">
        <v>75</v>
      </c>
      <c r="H8" s="1">
        <v>1198</v>
      </c>
      <c r="I8" s="13">
        <f>G8*H8</f>
        <v>89850</v>
      </c>
    </row>
    <row r="9" spans="1:9" x14ac:dyDescent="0.35">
      <c r="A9" s="7">
        <v>8</v>
      </c>
      <c r="B9" s="8">
        <v>43225</v>
      </c>
      <c r="C9" s="9" t="s">
        <v>12</v>
      </c>
      <c r="D9" s="10" t="s">
        <v>13</v>
      </c>
      <c r="E9" s="11" t="s">
        <v>16</v>
      </c>
      <c r="F9" s="14" t="s">
        <v>11</v>
      </c>
      <c r="G9" s="15">
        <v>90</v>
      </c>
      <c r="H9" s="1">
        <v>1198</v>
      </c>
      <c r="I9" s="13">
        <f t="shared" si="0"/>
        <v>107820</v>
      </c>
    </row>
    <row r="10" spans="1:9" x14ac:dyDescent="0.35">
      <c r="A10" s="7">
        <v>9</v>
      </c>
      <c r="B10" s="8">
        <v>43242</v>
      </c>
      <c r="C10" s="9" t="s">
        <v>20</v>
      </c>
      <c r="D10" s="16" t="s">
        <v>23</v>
      </c>
      <c r="E10" s="11" t="s">
        <v>24</v>
      </c>
      <c r="F10" s="14" t="s">
        <v>11</v>
      </c>
      <c r="G10" s="15">
        <v>32</v>
      </c>
      <c r="H10" s="6">
        <v>1198</v>
      </c>
      <c r="I10" s="13">
        <f t="shared" si="0"/>
        <v>38336</v>
      </c>
    </row>
    <row r="11" spans="1:9" x14ac:dyDescent="0.35">
      <c r="A11" s="7">
        <v>10</v>
      </c>
      <c r="B11" s="8">
        <v>43259</v>
      </c>
      <c r="C11" s="9" t="s">
        <v>8</v>
      </c>
      <c r="D11" s="10" t="s">
        <v>9</v>
      </c>
      <c r="E11" s="11" t="s">
        <v>10</v>
      </c>
      <c r="F11" s="14" t="s">
        <v>15</v>
      </c>
      <c r="G11" s="15">
        <v>60</v>
      </c>
      <c r="H11" s="6">
        <v>500</v>
      </c>
      <c r="I11" s="13">
        <f t="shared" si="0"/>
        <v>30000</v>
      </c>
    </row>
  </sheetData>
  <autoFilter ref="A1:I11" xr:uid="{BAF55E6E-15CA-42E7-85D6-568C3BCDF33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34554-9ADB-4086-AA5D-FC57E957A381}">
  <sheetPr>
    <tabColor rgb="FF0000FF"/>
  </sheetPr>
  <dimension ref="A1:N1"/>
  <sheetViews>
    <sheetView zoomScale="160" zoomScaleNormal="160" workbookViewId="0">
      <selection activeCell="Q16" sqref="Q16"/>
    </sheetView>
  </sheetViews>
  <sheetFormatPr defaultRowHeight="14.5" x14ac:dyDescent="0.35"/>
  <sheetData>
    <row r="1" spans="1:14" ht="25" customHeight="1" x14ac:dyDescent="0.35">
      <c r="A1" s="154" t="s">
        <v>100</v>
      </c>
      <c r="B1" s="154"/>
      <c r="C1" s="154"/>
      <c r="D1" s="154"/>
      <c r="E1" s="154"/>
      <c r="F1" s="154"/>
      <c r="G1" s="154"/>
      <c r="H1" s="154"/>
      <c r="I1" s="154"/>
      <c r="J1" s="154"/>
      <c r="K1" s="154"/>
      <c r="L1" s="154"/>
      <c r="M1" s="154"/>
      <c r="N1" s="154"/>
    </row>
  </sheetData>
  <mergeCells count="1">
    <mergeCell ref="A1:N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745D2-CEAD-4A51-8ADC-B624ED2E4C14}">
  <sheetPr>
    <tabColor rgb="FF00A29E"/>
  </sheetPr>
  <dimension ref="A1:B9"/>
  <sheetViews>
    <sheetView zoomScale="175" zoomScaleNormal="175" workbookViewId="0">
      <selection activeCell="G16" sqref="G16"/>
    </sheetView>
  </sheetViews>
  <sheetFormatPr defaultRowHeight="14.5" x14ac:dyDescent="0.35"/>
  <cols>
    <col min="1" max="1" width="12.453125" customWidth="1"/>
    <col min="2" max="2" width="21.90625" style="4" customWidth="1"/>
  </cols>
  <sheetData>
    <row r="1" spans="1:2" x14ac:dyDescent="0.35">
      <c r="A1" s="79" t="s">
        <v>103</v>
      </c>
      <c r="B1" s="80" t="s">
        <v>160</v>
      </c>
    </row>
    <row r="2" spans="1:2" x14ac:dyDescent="0.35">
      <c r="A2" s="48" t="s">
        <v>106</v>
      </c>
      <c r="B2" s="81" t="str" cm="1">
        <f t="array" aca="1" ref="B2:B9" ca="1">INDIRECT(A2)</f>
        <v>SQL</v>
      </c>
    </row>
    <row r="3" spans="1:2" x14ac:dyDescent="0.35">
      <c r="B3" s="4" t="str">
        <f ca="1"/>
        <v>DDL</v>
      </c>
    </row>
    <row r="4" spans="1:2" x14ac:dyDescent="0.35">
      <c r="B4" s="4" t="str">
        <f ca="1"/>
        <v>DML</v>
      </c>
    </row>
    <row r="5" spans="1:2" x14ac:dyDescent="0.35">
      <c r="B5" s="4" t="str">
        <f ca="1"/>
        <v>DQL</v>
      </c>
    </row>
    <row r="6" spans="1:2" x14ac:dyDescent="0.35">
      <c r="B6" s="4" t="str">
        <f ca="1"/>
        <v>DCL</v>
      </c>
    </row>
    <row r="7" spans="1:2" x14ac:dyDescent="0.35">
      <c r="B7" s="4" t="str">
        <f ca="1"/>
        <v>TCL</v>
      </c>
    </row>
    <row r="8" spans="1:2" x14ac:dyDescent="0.35">
      <c r="B8" s="4" t="str">
        <f ca="1"/>
        <v>SFL</v>
      </c>
    </row>
    <row r="9" spans="1:2" x14ac:dyDescent="0.35">
      <c r="B9" s="4" t="str">
        <f ca="1"/>
        <v>WFL</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6C1A490-13F7-44AF-AC1A-20B34C4523F1}">
          <x14:formula1>
            <xm:f>'master-sheet'!$A$3:$A$9</xm:f>
          </x14:formula1>
          <xm:sqref>A2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4C249-A94D-499A-9EE5-0D89254ACDE4}">
  <dimension ref="B1:L11"/>
  <sheetViews>
    <sheetView topLeftCell="B1" zoomScale="205" zoomScaleNormal="205" workbookViewId="0">
      <selection activeCell="B6" sqref="B6"/>
    </sheetView>
  </sheetViews>
  <sheetFormatPr defaultRowHeight="14.5" x14ac:dyDescent="0.35"/>
  <cols>
    <col min="2" max="2" width="16.26953125" customWidth="1"/>
    <col min="10" max="10" width="14.81640625" bestFit="1" customWidth="1"/>
    <col min="12" max="12" width="14.6328125" customWidth="1"/>
  </cols>
  <sheetData>
    <row r="1" spans="2:12" x14ac:dyDescent="0.35">
      <c r="B1" s="71" t="s">
        <v>102</v>
      </c>
      <c r="J1" s="70" t="s">
        <v>101</v>
      </c>
      <c r="L1" s="2" t="s">
        <v>2</v>
      </c>
    </row>
    <row r="2" spans="2:12" x14ac:dyDescent="0.35">
      <c r="B2" t="s">
        <v>13</v>
      </c>
      <c r="J2" t="str" cm="1">
        <f t="array" ref="J2:J5">_xlfn.UNIQUE(L2:L11)</f>
        <v>Martha</v>
      </c>
      <c r="L2" s="10" t="s">
        <v>9</v>
      </c>
    </row>
    <row r="3" spans="2:12" x14ac:dyDescent="0.35">
      <c r="J3" t="str">
        <v>Hermann</v>
      </c>
      <c r="L3" s="10" t="s">
        <v>13</v>
      </c>
    </row>
    <row r="4" spans="2:12" x14ac:dyDescent="0.35">
      <c r="J4" t="str">
        <v>Timothy</v>
      </c>
      <c r="L4" s="10" t="s">
        <v>13</v>
      </c>
    </row>
    <row r="5" spans="2:12" x14ac:dyDescent="0.35">
      <c r="J5" t="str">
        <v>Douglas</v>
      </c>
      <c r="L5" s="10" t="s">
        <v>17</v>
      </c>
    </row>
    <row r="6" spans="2:12" x14ac:dyDescent="0.35">
      <c r="L6" s="10" t="s">
        <v>17</v>
      </c>
    </row>
    <row r="7" spans="2:12" x14ac:dyDescent="0.35">
      <c r="L7" s="10" t="s">
        <v>9</v>
      </c>
    </row>
    <row r="8" spans="2:12" x14ac:dyDescent="0.35">
      <c r="L8" s="11" t="s">
        <v>9</v>
      </c>
    </row>
    <row r="9" spans="2:12" x14ac:dyDescent="0.35">
      <c r="L9" s="10" t="s">
        <v>13</v>
      </c>
    </row>
    <row r="10" spans="2:12" x14ac:dyDescent="0.35">
      <c r="L10" s="16" t="s">
        <v>23</v>
      </c>
    </row>
    <row r="11" spans="2:12" x14ac:dyDescent="0.35">
      <c r="L11" s="10" t="s">
        <v>9</v>
      </c>
    </row>
  </sheetData>
  <dataValidations count="1">
    <dataValidation type="list" allowBlank="1" showInputMessage="1" showErrorMessage="1" sqref="B2" xr:uid="{FD009DDD-9157-48DF-B732-6FCD81207894}">
      <formula1>$J$2:$J$5</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9EC5C-4EE3-4119-BC3E-11A09607BCAB}">
  <sheetPr>
    <tabColor rgb="FFC00000"/>
  </sheetPr>
  <dimension ref="A1:H14"/>
  <sheetViews>
    <sheetView zoomScale="115" zoomScaleNormal="115" workbookViewId="0">
      <selection activeCell="I17" sqref="I17"/>
    </sheetView>
  </sheetViews>
  <sheetFormatPr defaultRowHeight="14.5" x14ac:dyDescent="0.35"/>
  <cols>
    <col min="1" max="1" width="12.90625" customWidth="1"/>
    <col min="2" max="2" width="15.36328125" customWidth="1"/>
    <col min="3" max="3" width="12" customWidth="1"/>
    <col min="4" max="4" width="11.08984375" customWidth="1"/>
    <col min="5" max="5" width="10.81640625" customWidth="1"/>
    <col min="6" max="6" width="12.7265625" customWidth="1"/>
    <col min="7" max="7" width="10.6328125" customWidth="1"/>
    <col min="8" max="8" width="10.81640625" customWidth="1"/>
  </cols>
  <sheetData>
    <row r="1" spans="1:8" x14ac:dyDescent="0.35">
      <c r="A1" s="60" t="s">
        <v>158</v>
      </c>
      <c r="B1" s="155" t="s">
        <v>159</v>
      </c>
      <c r="C1" s="155"/>
      <c r="D1" s="155"/>
      <c r="E1" s="155"/>
      <c r="F1" s="155"/>
      <c r="G1" s="155"/>
      <c r="H1" s="155"/>
    </row>
    <row r="2" spans="1:8" x14ac:dyDescent="0.35">
      <c r="A2" s="76" t="s">
        <v>103</v>
      </c>
      <c r="B2" s="77" t="s">
        <v>104</v>
      </c>
      <c r="C2" s="77" t="s">
        <v>105</v>
      </c>
      <c r="D2" s="77" t="s">
        <v>106</v>
      </c>
      <c r="E2" s="77" t="s">
        <v>107</v>
      </c>
      <c r="F2" s="77" t="s">
        <v>108</v>
      </c>
      <c r="G2" s="77" t="s">
        <v>109</v>
      </c>
      <c r="H2" s="77" t="s">
        <v>110</v>
      </c>
    </row>
    <row r="3" spans="1:8" x14ac:dyDescent="0.35">
      <c r="A3" s="78" t="s">
        <v>104</v>
      </c>
      <c r="B3" s="72" t="s">
        <v>111</v>
      </c>
      <c r="C3" s="72" t="s">
        <v>112</v>
      </c>
      <c r="D3" s="73" t="s">
        <v>113</v>
      </c>
      <c r="E3" s="72" t="s">
        <v>114</v>
      </c>
      <c r="F3" s="74" t="s">
        <v>115</v>
      </c>
      <c r="G3" s="72" t="s">
        <v>116</v>
      </c>
      <c r="H3" s="72" t="s">
        <v>117</v>
      </c>
    </row>
    <row r="4" spans="1:8" x14ac:dyDescent="0.35">
      <c r="A4" s="78" t="s">
        <v>105</v>
      </c>
      <c r="B4" s="72" t="s">
        <v>118</v>
      </c>
      <c r="C4" s="72" t="s">
        <v>119</v>
      </c>
      <c r="D4" s="73" t="s">
        <v>120</v>
      </c>
      <c r="E4" s="72" t="s">
        <v>121</v>
      </c>
      <c r="F4" s="74" t="s">
        <v>122</v>
      </c>
      <c r="G4" s="72" t="s">
        <v>123</v>
      </c>
      <c r="H4" s="72" t="s">
        <v>124</v>
      </c>
    </row>
    <row r="5" spans="1:8" x14ac:dyDescent="0.35">
      <c r="A5" s="78" t="s">
        <v>106</v>
      </c>
      <c r="B5" s="72" t="s">
        <v>125</v>
      </c>
      <c r="C5" s="72" t="s">
        <v>126</v>
      </c>
      <c r="D5" s="73" t="s">
        <v>127</v>
      </c>
      <c r="E5" s="72" t="s">
        <v>128</v>
      </c>
      <c r="F5" s="74" t="s">
        <v>129</v>
      </c>
      <c r="G5" s="72" t="s">
        <v>130</v>
      </c>
      <c r="H5" s="72" t="s">
        <v>131</v>
      </c>
    </row>
    <row r="6" spans="1:8" x14ac:dyDescent="0.35">
      <c r="A6" s="78" t="s">
        <v>107</v>
      </c>
      <c r="B6" s="72" t="s">
        <v>132</v>
      </c>
      <c r="C6" s="72" t="s">
        <v>133</v>
      </c>
      <c r="D6" s="73" t="s">
        <v>134</v>
      </c>
      <c r="E6" s="72" t="s">
        <v>135</v>
      </c>
      <c r="F6" s="74" t="s">
        <v>136</v>
      </c>
      <c r="G6" s="72" t="s">
        <v>137</v>
      </c>
      <c r="H6" s="72" t="s">
        <v>138</v>
      </c>
    </row>
    <row r="7" spans="1:8" x14ac:dyDescent="0.35">
      <c r="A7" s="78" t="s">
        <v>108</v>
      </c>
      <c r="B7" s="72" t="s">
        <v>139</v>
      </c>
      <c r="C7" s="72" t="s">
        <v>140</v>
      </c>
      <c r="D7" s="73" t="s">
        <v>141</v>
      </c>
      <c r="E7" s="72" t="s">
        <v>142</v>
      </c>
      <c r="F7" s="74" t="s">
        <v>143</v>
      </c>
      <c r="G7" s="75"/>
      <c r="H7" s="75"/>
    </row>
    <row r="8" spans="1:8" x14ac:dyDescent="0.35">
      <c r="A8" s="78" t="s">
        <v>109</v>
      </c>
      <c r="B8" s="72" t="s">
        <v>144</v>
      </c>
      <c r="C8" s="72" t="s">
        <v>145</v>
      </c>
      <c r="D8" s="73" t="s">
        <v>146</v>
      </c>
      <c r="E8" s="72" t="s">
        <v>132</v>
      </c>
      <c r="F8" s="74" t="s">
        <v>147</v>
      </c>
      <c r="G8" s="75"/>
      <c r="H8" s="75"/>
    </row>
    <row r="9" spans="1:8" x14ac:dyDescent="0.35">
      <c r="A9" s="78" t="s">
        <v>110</v>
      </c>
      <c r="B9" s="72" t="s">
        <v>148</v>
      </c>
      <c r="C9" s="72" t="s">
        <v>149</v>
      </c>
      <c r="D9" s="73" t="s">
        <v>150</v>
      </c>
      <c r="E9" s="72" t="s">
        <v>151</v>
      </c>
      <c r="F9" s="75"/>
      <c r="G9" s="75"/>
      <c r="H9" s="75"/>
    </row>
    <row r="10" spans="1:8" x14ac:dyDescent="0.35">
      <c r="A10" s="75"/>
      <c r="B10" s="72" t="s">
        <v>152</v>
      </c>
      <c r="C10" s="75"/>
      <c r="D10" s="75"/>
      <c r="E10" s="72" t="s">
        <v>153</v>
      </c>
      <c r="F10" s="75"/>
      <c r="G10" s="75"/>
      <c r="H10" s="75"/>
    </row>
    <row r="11" spans="1:8" x14ac:dyDescent="0.35">
      <c r="A11" s="75"/>
      <c r="B11" s="72" t="s">
        <v>154</v>
      </c>
      <c r="C11" s="75"/>
      <c r="D11" s="75"/>
      <c r="E11" s="75"/>
      <c r="F11" s="75"/>
      <c r="G11" s="75"/>
      <c r="H11" s="75"/>
    </row>
    <row r="12" spans="1:8" x14ac:dyDescent="0.35">
      <c r="A12" s="75"/>
      <c r="B12" s="72" t="s">
        <v>155</v>
      </c>
      <c r="C12" s="75"/>
      <c r="D12" s="75"/>
      <c r="E12" s="75"/>
      <c r="F12" s="75"/>
      <c r="G12" s="75"/>
      <c r="H12" s="75"/>
    </row>
    <row r="13" spans="1:8" x14ac:dyDescent="0.35">
      <c r="A13" s="75"/>
      <c r="B13" s="72" t="s">
        <v>156</v>
      </c>
      <c r="C13" s="75"/>
      <c r="D13" s="75"/>
      <c r="E13" s="75"/>
      <c r="F13" s="75"/>
      <c r="G13" s="75"/>
      <c r="H13" s="75"/>
    </row>
    <row r="14" spans="1:8" x14ac:dyDescent="0.35">
      <c r="A14" s="75"/>
      <c r="B14" s="72" t="s">
        <v>157</v>
      </c>
      <c r="C14" s="75"/>
      <c r="D14" s="75"/>
      <c r="E14" s="75"/>
      <c r="F14" s="75"/>
      <c r="G14" s="75"/>
      <c r="H14" s="75"/>
    </row>
  </sheetData>
  <mergeCells count="1">
    <mergeCell ref="B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8C61B-A2FA-4BF3-B666-09ED19FF16F4}">
  <dimension ref="A1:E3"/>
  <sheetViews>
    <sheetView zoomScale="160" zoomScaleNormal="160" workbookViewId="0">
      <selection activeCell="E10" sqref="E10"/>
    </sheetView>
  </sheetViews>
  <sheetFormatPr defaultRowHeight="14.5" x14ac:dyDescent="0.35"/>
  <cols>
    <col min="1" max="1" width="15.1796875" bestFit="1" customWidth="1"/>
    <col min="2" max="2" width="11.6328125" customWidth="1"/>
    <col min="3" max="3" width="13.6328125" customWidth="1"/>
    <col min="5" max="5" width="14.6328125" customWidth="1"/>
    <col min="6" max="6" width="16.81640625" customWidth="1"/>
  </cols>
  <sheetData>
    <row r="1" spans="1:5" x14ac:dyDescent="0.35">
      <c r="A1" s="48" t="s">
        <v>161</v>
      </c>
      <c r="B1" s="48">
        <v>550000</v>
      </c>
      <c r="E1" s="82" t="s">
        <v>166</v>
      </c>
    </row>
    <row r="2" spans="1:5" ht="15.5" x14ac:dyDescent="0.35">
      <c r="A2" s="48" t="s">
        <v>162</v>
      </c>
      <c r="B2" s="48">
        <v>5</v>
      </c>
      <c r="C2" s="83" t="s">
        <v>164</v>
      </c>
      <c r="E2" s="84">
        <f>PMT(B3/12, B2*12, B1)</f>
        <v>-11478.587662945511</v>
      </c>
    </row>
    <row r="3" spans="1:5" x14ac:dyDescent="0.35">
      <c r="A3" s="48" t="s">
        <v>163</v>
      </c>
      <c r="B3" s="85">
        <v>9.2299999999999993E-2</v>
      </c>
      <c r="C3" s="83" t="s">
        <v>165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CC625-9CBE-4239-8183-236DA09FAFB4}">
  <sheetPr>
    <tabColor rgb="FFFFCCFF"/>
  </sheetPr>
  <dimension ref="A1:I37"/>
  <sheetViews>
    <sheetView zoomScale="85" zoomScaleNormal="85" workbookViewId="0">
      <pane xSplit="1" ySplit="1" topLeftCell="B23" activePane="bottomRight" state="frozen"/>
      <selection pane="topRight" activeCell="B1" sqref="B1"/>
      <selection pane="bottomLeft" activeCell="A2" sqref="A2"/>
      <selection pane="bottomRight" activeCell="D21" sqref="D21"/>
    </sheetView>
  </sheetViews>
  <sheetFormatPr defaultRowHeight="14.5" x14ac:dyDescent="0.35"/>
  <cols>
    <col min="1" max="1" width="30.08984375" customWidth="1"/>
    <col min="2" max="2" width="22" customWidth="1"/>
    <col min="3" max="3" width="34" customWidth="1"/>
    <col min="4" max="4" width="16.81640625" customWidth="1"/>
    <col min="5" max="5" width="15.1796875" customWidth="1"/>
    <col min="6" max="6" width="16.1796875" customWidth="1"/>
    <col min="7" max="7" width="14.26953125" customWidth="1"/>
    <col min="8" max="9" width="13.81640625" customWidth="1"/>
    <col min="10" max="10" width="11.453125" customWidth="1"/>
    <col min="11" max="11" width="6.81640625" bestFit="1" customWidth="1"/>
    <col min="12" max="12" width="10.7265625" bestFit="1" customWidth="1"/>
  </cols>
  <sheetData>
    <row r="1" spans="1:9" x14ac:dyDescent="0.35">
      <c r="A1" s="2" t="s">
        <v>27</v>
      </c>
      <c r="B1" s="3" t="s">
        <v>0</v>
      </c>
      <c r="C1" s="2" t="s">
        <v>1</v>
      </c>
      <c r="D1" s="2" t="s">
        <v>2</v>
      </c>
      <c r="E1" s="2" t="s">
        <v>3</v>
      </c>
      <c r="F1" s="2" t="s">
        <v>4</v>
      </c>
      <c r="G1" s="2" t="s">
        <v>5</v>
      </c>
      <c r="H1" s="2" t="s">
        <v>6</v>
      </c>
      <c r="I1" s="2" t="s">
        <v>7</v>
      </c>
    </row>
    <row r="2" spans="1:9" x14ac:dyDescent="0.35">
      <c r="A2" s="7">
        <v>1</v>
      </c>
      <c r="B2" s="8">
        <v>43106</v>
      </c>
      <c r="C2" s="9" t="s">
        <v>8</v>
      </c>
      <c r="D2" s="10" t="s">
        <v>9</v>
      </c>
      <c r="E2" s="11" t="s">
        <v>10</v>
      </c>
      <c r="F2" s="11" t="s">
        <v>11</v>
      </c>
      <c r="G2" s="12">
        <v>95</v>
      </c>
      <c r="H2" s="1">
        <v>1198</v>
      </c>
      <c r="I2" s="13">
        <f>G2*H2</f>
        <v>113810</v>
      </c>
    </row>
    <row r="3" spans="1:9" x14ac:dyDescent="0.35">
      <c r="A3" s="7">
        <v>2</v>
      </c>
      <c r="B3" s="8">
        <v>43123</v>
      </c>
      <c r="C3" s="9" t="s">
        <v>12</v>
      </c>
      <c r="D3" s="10" t="s">
        <v>13</v>
      </c>
      <c r="E3" s="11" t="s">
        <v>14</v>
      </c>
      <c r="F3" s="14" t="s">
        <v>15</v>
      </c>
      <c r="G3" s="15">
        <v>50</v>
      </c>
      <c r="H3" s="1">
        <v>400</v>
      </c>
      <c r="I3" s="13">
        <f t="shared" ref="I3:I11" si="0">G3*H3</f>
        <v>20000</v>
      </c>
    </row>
    <row r="4" spans="1:9" x14ac:dyDescent="0.35">
      <c r="A4" s="7">
        <v>3</v>
      </c>
      <c r="B4" s="8">
        <v>43140</v>
      </c>
      <c r="C4" s="9" t="s">
        <v>12</v>
      </c>
      <c r="D4" s="10" t="s">
        <v>13</v>
      </c>
      <c r="E4" s="11" t="s">
        <v>16</v>
      </c>
      <c r="F4" s="14" t="s">
        <v>11</v>
      </c>
      <c r="G4" s="15">
        <v>36</v>
      </c>
      <c r="H4" s="1">
        <v>1198</v>
      </c>
      <c r="I4" s="13">
        <f t="shared" si="0"/>
        <v>43128</v>
      </c>
    </row>
    <row r="5" spans="1:9" x14ac:dyDescent="0.35">
      <c r="A5" s="7">
        <v>4</v>
      </c>
      <c r="B5" s="8">
        <v>43157</v>
      </c>
      <c r="C5" s="9" t="s">
        <v>12</v>
      </c>
      <c r="D5" s="10" t="s">
        <v>17</v>
      </c>
      <c r="E5" s="11" t="s">
        <v>18</v>
      </c>
      <c r="F5" s="14" t="s">
        <v>19</v>
      </c>
      <c r="G5" s="15">
        <v>27</v>
      </c>
      <c r="H5" s="1">
        <v>225</v>
      </c>
      <c r="I5" s="13">
        <f t="shared" si="0"/>
        <v>6075</v>
      </c>
    </row>
    <row r="6" spans="1:9" x14ac:dyDescent="0.35">
      <c r="A6" s="7">
        <v>5</v>
      </c>
      <c r="B6" s="8">
        <v>43174</v>
      </c>
      <c r="C6" s="9" t="s">
        <v>20</v>
      </c>
      <c r="D6" s="10" t="s">
        <v>17</v>
      </c>
      <c r="E6" s="11" t="s">
        <v>21</v>
      </c>
      <c r="F6" s="14" t="s">
        <v>11</v>
      </c>
      <c r="G6" s="15">
        <v>56</v>
      </c>
      <c r="H6" s="1">
        <v>1198</v>
      </c>
      <c r="I6" s="13">
        <f t="shared" si="0"/>
        <v>67088</v>
      </c>
    </row>
    <row r="7" spans="1:9" x14ac:dyDescent="0.35">
      <c r="A7" s="7">
        <v>6</v>
      </c>
      <c r="B7" s="8">
        <v>43191</v>
      </c>
      <c r="C7" s="9" t="s">
        <v>8</v>
      </c>
      <c r="D7" s="10" t="s">
        <v>9</v>
      </c>
      <c r="E7" s="11" t="s">
        <v>10</v>
      </c>
      <c r="F7" s="14" t="s">
        <v>15</v>
      </c>
      <c r="G7" s="15">
        <v>60</v>
      </c>
      <c r="H7" s="1">
        <v>500</v>
      </c>
      <c r="I7" s="13">
        <f t="shared" si="0"/>
        <v>30000</v>
      </c>
    </row>
    <row r="8" spans="1:9" x14ac:dyDescent="0.35">
      <c r="A8" s="7">
        <v>7</v>
      </c>
      <c r="B8" s="8">
        <v>43208</v>
      </c>
      <c r="C8" s="9" t="s">
        <v>12</v>
      </c>
      <c r="D8" s="11" t="s">
        <v>9</v>
      </c>
      <c r="E8" s="11" t="s">
        <v>22</v>
      </c>
      <c r="F8" s="14" t="s">
        <v>11</v>
      </c>
      <c r="G8" s="15">
        <v>75</v>
      </c>
      <c r="H8" s="1">
        <v>1198</v>
      </c>
      <c r="I8" s="13">
        <f>G8*H8</f>
        <v>89850</v>
      </c>
    </row>
    <row r="9" spans="1:9" x14ac:dyDescent="0.35">
      <c r="A9" s="7">
        <v>8</v>
      </c>
      <c r="B9" s="8">
        <v>43225</v>
      </c>
      <c r="C9" s="9" t="s">
        <v>12</v>
      </c>
      <c r="D9" s="10" t="s">
        <v>13</v>
      </c>
      <c r="E9" s="11" t="s">
        <v>16</v>
      </c>
      <c r="F9" s="14" t="s">
        <v>11</v>
      </c>
      <c r="G9" s="15">
        <v>90</v>
      </c>
      <c r="H9" s="1">
        <v>1198</v>
      </c>
      <c r="I9" s="13">
        <f t="shared" si="0"/>
        <v>107820</v>
      </c>
    </row>
    <row r="10" spans="1:9" x14ac:dyDescent="0.35">
      <c r="A10" s="7">
        <v>9</v>
      </c>
      <c r="B10" s="8">
        <v>43242</v>
      </c>
      <c r="C10" s="9" t="s">
        <v>20</v>
      </c>
      <c r="D10" s="16" t="s">
        <v>23</v>
      </c>
      <c r="E10" s="11" t="s">
        <v>24</v>
      </c>
      <c r="F10" s="14" t="s">
        <v>11</v>
      </c>
      <c r="G10" s="15">
        <v>32</v>
      </c>
      <c r="H10" s="6">
        <v>1198</v>
      </c>
      <c r="I10" s="13">
        <f t="shared" si="0"/>
        <v>38336</v>
      </c>
    </row>
    <row r="11" spans="1:9" x14ac:dyDescent="0.35">
      <c r="A11" s="7">
        <v>10</v>
      </c>
      <c r="B11" s="8">
        <v>43259</v>
      </c>
      <c r="C11" s="9" t="s">
        <v>8</v>
      </c>
      <c r="D11" s="10" t="s">
        <v>9</v>
      </c>
      <c r="E11" s="11" t="s">
        <v>10</v>
      </c>
      <c r="F11" s="14" t="s">
        <v>15</v>
      </c>
      <c r="G11" s="15">
        <v>60</v>
      </c>
      <c r="H11" s="6">
        <v>500</v>
      </c>
      <c r="I11" s="13">
        <f t="shared" si="0"/>
        <v>30000</v>
      </c>
    </row>
    <row r="15" spans="1:9" x14ac:dyDescent="0.35">
      <c r="A15" s="86" t="s">
        <v>167</v>
      </c>
    </row>
    <row r="17" spans="1:9" x14ac:dyDescent="0.35">
      <c r="A17" s="87" t="s">
        <v>205</v>
      </c>
      <c r="B17" s="88" t="s">
        <v>168</v>
      </c>
      <c r="C17" s="87" t="s">
        <v>169</v>
      </c>
      <c r="E17" s="3" t="s">
        <v>0</v>
      </c>
      <c r="F17" s="94" t="s">
        <v>179</v>
      </c>
      <c r="G17" s="94" t="s">
        <v>182</v>
      </c>
      <c r="H17" s="94" t="s">
        <v>187</v>
      </c>
      <c r="I17" s="94" t="s">
        <v>191</v>
      </c>
    </row>
    <row r="18" spans="1:9" x14ac:dyDescent="0.35">
      <c r="A18" s="48" t="s">
        <v>170</v>
      </c>
      <c r="B18" s="89">
        <f ca="1">TODAY()</f>
        <v>45966</v>
      </c>
      <c r="C18" s="93" t="s">
        <v>171</v>
      </c>
      <c r="E18" s="8">
        <v>43106</v>
      </c>
      <c r="F18" s="7">
        <f>DAY(E18)</f>
        <v>6</v>
      </c>
      <c r="G18" s="7">
        <f>MONTH(E18)</f>
        <v>1</v>
      </c>
      <c r="H18" s="7">
        <f>YEAR(E18)</f>
        <v>2018</v>
      </c>
      <c r="I18" s="7">
        <f>ROUNDUP(MONTH(E18)/3, 0)</f>
        <v>1</v>
      </c>
    </row>
    <row r="19" spans="1:9" x14ac:dyDescent="0.35">
      <c r="A19" s="48" t="s">
        <v>172</v>
      </c>
      <c r="B19" s="89">
        <f ca="1">TODAY()+10</f>
        <v>45976</v>
      </c>
      <c r="C19" s="93" t="s">
        <v>173</v>
      </c>
      <c r="E19" s="8">
        <v>43123</v>
      </c>
      <c r="F19" s="7">
        <f t="shared" ref="F19:F27" si="1">DAY(E19)</f>
        <v>23</v>
      </c>
      <c r="G19" s="7">
        <f t="shared" ref="G19:G27" si="2">MONTH(E19)</f>
        <v>1</v>
      </c>
      <c r="H19" s="7">
        <f t="shared" ref="H19:H27" si="3">YEAR(E19)</f>
        <v>2018</v>
      </c>
      <c r="I19" s="7">
        <f t="shared" ref="I19:I27" si="4">ROUNDUP(MONTH(E19)/3, 0)</f>
        <v>1</v>
      </c>
    </row>
    <row r="20" spans="1:9" x14ac:dyDescent="0.35">
      <c r="A20" s="48" t="s">
        <v>174</v>
      </c>
      <c r="B20" s="91">
        <f ca="1">NOW()</f>
        <v>45966.889946064817</v>
      </c>
      <c r="C20" s="93" t="s">
        <v>175</v>
      </c>
      <c r="E20" s="8">
        <v>43140</v>
      </c>
      <c r="F20" s="7">
        <f t="shared" si="1"/>
        <v>9</v>
      </c>
      <c r="G20" s="7">
        <f t="shared" si="2"/>
        <v>2</v>
      </c>
      <c r="H20" s="7">
        <f t="shared" si="3"/>
        <v>2018</v>
      </c>
      <c r="I20" s="7">
        <f t="shared" si="4"/>
        <v>1</v>
      </c>
    </row>
    <row r="21" spans="1:9" x14ac:dyDescent="0.35">
      <c r="A21" s="48" t="s">
        <v>176</v>
      </c>
      <c r="B21" s="48">
        <f ca="1">DAY(TODAY())</f>
        <v>5</v>
      </c>
      <c r="C21" s="92" t="s">
        <v>178</v>
      </c>
      <c r="E21" s="8">
        <v>43157</v>
      </c>
      <c r="F21" s="7">
        <f t="shared" si="1"/>
        <v>26</v>
      </c>
      <c r="G21" s="7">
        <f t="shared" si="2"/>
        <v>2</v>
      </c>
      <c r="H21" s="7">
        <f t="shared" si="3"/>
        <v>2018</v>
      </c>
      <c r="I21" s="7">
        <f t="shared" si="4"/>
        <v>1</v>
      </c>
    </row>
    <row r="22" spans="1:9" x14ac:dyDescent="0.35">
      <c r="A22" s="48" t="s">
        <v>177</v>
      </c>
      <c r="B22" s="48">
        <f>DAY("23-03-2025")</f>
        <v>23</v>
      </c>
      <c r="C22" s="92" t="s">
        <v>178</v>
      </c>
      <c r="E22" s="8">
        <v>43174</v>
      </c>
      <c r="F22" s="7">
        <f t="shared" si="1"/>
        <v>15</v>
      </c>
      <c r="G22" s="7">
        <f t="shared" si="2"/>
        <v>3</v>
      </c>
      <c r="H22" s="7">
        <f t="shared" si="3"/>
        <v>2018</v>
      </c>
      <c r="I22" s="7">
        <f t="shared" si="4"/>
        <v>1</v>
      </c>
    </row>
    <row r="23" spans="1:9" x14ac:dyDescent="0.35">
      <c r="A23" s="48" t="s">
        <v>180</v>
      </c>
      <c r="B23" s="48">
        <f ca="1">MONTH(TODAY())</f>
        <v>11</v>
      </c>
      <c r="C23" s="92" t="s">
        <v>181</v>
      </c>
      <c r="E23" s="8">
        <v>43191</v>
      </c>
      <c r="F23" s="7">
        <f t="shared" si="1"/>
        <v>1</v>
      </c>
      <c r="G23" s="7">
        <f t="shared" si="2"/>
        <v>4</v>
      </c>
      <c r="H23" s="7">
        <f t="shared" si="3"/>
        <v>2018</v>
      </c>
      <c r="I23" s="7">
        <f t="shared" si="4"/>
        <v>2</v>
      </c>
    </row>
    <row r="24" spans="1:9" x14ac:dyDescent="0.35">
      <c r="A24" s="48" t="s">
        <v>183</v>
      </c>
      <c r="B24" s="48">
        <f>MONTH("23-Jun-2025")</f>
        <v>6</v>
      </c>
      <c r="C24" s="92" t="s">
        <v>181</v>
      </c>
      <c r="E24" s="8">
        <v>44304</v>
      </c>
      <c r="F24" s="7">
        <f t="shared" si="1"/>
        <v>18</v>
      </c>
      <c r="G24" s="7">
        <f t="shared" si="2"/>
        <v>4</v>
      </c>
      <c r="H24" s="7">
        <f t="shared" si="3"/>
        <v>2021</v>
      </c>
      <c r="I24" s="7">
        <f t="shared" si="4"/>
        <v>2</v>
      </c>
    </row>
    <row r="25" spans="1:9" x14ac:dyDescent="0.35">
      <c r="A25" s="48" t="s">
        <v>184</v>
      </c>
      <c r="B25" s="48">
        <f ca="1">YEAR(TODAY())</f>
        <v>2025</v>
      </c>
      <c r="C25" s="92" t="s">
        <v>186</v>
      </c>
      <c r="E25" s="8">
        <v>43225</v>
      </c>
      <c r="F25" s="7">
        <f t="shared" si="1"/>
        <v>5</v>
      </c>
      <c r="G25" s="7">
        <f t="shared" si="2"/>
        <v>5</v>
      </c>
      <c r="H25" s="7">
        <f t="shared" si="3"/>
        <v>2018</v>
      </c>
      <c r="I25" s="7">
        <f t="shared" si="4"/>
        <v>2</v>
      </c>
    </row>
    <row r="26" spans="1:9" x14ac:dyDescent="0.35">
      <c r="A26" s="48" t="s">
        <v>185</v>
      </c>
      <c r="B26" s="48">
        <f>YEAR("23-Jun-2025")</f>
        <v>2025</v>
      </c>
      <c r="C26" s="92" t="s">
        <v>186</v>
      </c>
      <c r="E26" s="8">
        <v>43242</v>
      </c>
      <c r="F26" s="7">
        <f t="shared" si="1"/>
        <v>22</v>
      </c>
      <c r="G26" s="7">
        <f t="shared" si="2"/>
        <v>5</v>
      </c>
      <c r="H26" s="7">
        <f t="shared" si="3"/>
        <v>2018</v>
      </c>
      <c r="I26" s="7">
        <f t="shared" si="4"/>
        <v>2</v>
      </c>
    </row>
    <row r="27" spans="1:9" x14ac:dyDescent="0.35">
      <c r="A27" s="48" t="s">
        <v>188</v>
      </c>
      <c r="B27" s="48">
        <f ca="1">ROUNDUP(MONTH(TODAY())/3, 0)</f>
        <v>4</v>
      </c>
      <c r="C27" s="92" t="s">
        <v>189</v>
      </c>
      <c r="E27" s="8">
        <v>43259</v>
      </c>
      <c r="F27" s="7">
        <f t="shared" si="1"/>
        <v>8</v>
      </c>
      <c r="G27" s="7">
        <f t="shared" si="2"/>
        <v>6</v>
      </c>
      <c r="H27" s="7">
        <f t="shared" si="3"/>
        <v>2018</v>
      </c>
      <c r="I27" s="7">
        <f t="shared" si="4"/>
        <v>2</v>
      </c>
    </row>
    <row r="28" spans="1:9" x14ac:dyDescent="0.35">
      <c r="A28" s="48" t="s">
        <v>190</v>
      </c>
      <c r="B28" s="48">
        <f>ROUNDUP(MONTH("17-May-2025")/3, 0)</f>
        <v>2</v>
      </c>
      <c r="C28" s="92" t="s">
        <v>189</v>
      </c>
    </row>
    <row r="29" spans="1:9" x14ac:dyDescent="0.35">
      <c r="A29" s="48" t="s">
        <v>192</v>
      </c>
      <c r="B29" s="7" t="str">
        <f ca="1">TEXT(TODAY(), "DD")</f>
        <v>05</v>
      </c>
      <c r="C29" s="92" t="s">
        <v>178</v>
      </c>
    </row>
    <row r="30" spans="1:9" x14ac:dyDescent="0.35">
      <c r="A30" s="48" t="s">
        <v>193</v>
      </c>
      <c r="B30" s="7" t="str">
        <f ca="1">TEXT(TODAY(), "MM")</f>
        <v>11</v>
      </c>
      <c r="C30" s="92" t="s">
        <v>181</v>
      </c>
    </row>
    <row r="31" spans="1:9" x14ac:dyDescent="0.35">
      <c r="A31" s="48" t="s">
        <v>194</v>
      </c>
      <c r="B31" s="7" t="str">
        <f ca="1">TEXT(TODAY(), "YYYY")</f>
        <v>2025</v>
      </c>
      <c r="C31" s="92" t="s">
        <v>186</v>
      </c>
    </row>
    <row r="32" spans="1:9" x14ac:dyDescent="0.35">
      <c r="A32" s="48" t="s">
        <v>195</v>
      </c>
      <c r="B32" s="7" t="str">
        <f>TEXT("17-Jul-1993", "DDD")</f>
        <v>Sat</v>
      </c>
      <c r="C32" s="92" t="s">
        <v>197</v>
      </c>
    </row>
    <row r="33" spans="1:3" x14ac:dyDescent="0.35">
      <c r="A33" s="48" t="s">
        <v>196</v>
      </c>
      <c r="B33" s="7" t="str">
        <f>TEXT("17-Jul-1993", "DDDD")</f>
        <v>Saturday</v>
      </c>
      <c r="C33" s="92" t="s">
        <v>198</v>
      </c>
    </row>
    <row r="34" spans="1:3" x14ac:dyDescent="0.35">
      <c r="A34" s="48" t="s">
        <v>199</v>
      </c>
      <c r="B34" s="7" t="str">
        <f ca="1">TEXT(TODAY(), "MMM")</f>
        <v>Nov</v>
      </c>
      <c r="C34" s="92" t="s">
        <v>200</v>
      </c>
    </row>
    <row r="35" spans="1:3" x14ac:dyDescent="0.35">
      <c r="A35" s="48" t="s">
        <v>201</v>
      </c>
      <c r="B35" s="7" t="str">
        <f ca="1">TEXT(TODAY(), "MMMM")</f>
        <v>November</v>
      </c>
      <c r="C35" s="92" t="s">
        <v>202</v>
      </c>
    </row>
    <row r="36" spans="1:3" x14ac:dyDescent="0.35">
      <c r="A36" s="48" t="s">
        <v>203</v>
      </c>
      <c r="B36" s="7" t="str">
        <f ca="1">TEXT(TODAY(), "YY")</f>
        <v>25</v>
      </c>
      <c r="C36" s="92" t="s">
        <v>204</v>
      </c>
    </row>
    <row r="37" spans="1:3" x14ac:dyDescent="0.35">
      <c r="A37" s="48"/>
      <c r="B37" s="48"/>
      <c r="C37" s="90"/>
    </row>
  </sheetData>
  <autoFilter ref="A1:I11" xr:uid="{BAF55E6E-15CA-42E7-85D6-568C3BCDF332}"/>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52AC-48B7-486D-A8E9-0B52E219CEAE}">
  <dimension ref="A1:I34"/>
  <sheetViews>
    <sheetView zoomScaleNormal="100" workbookViewId="0">
      <pane ySplit="1" topLeftCell="A17" activePane="bottomLeft" state="frozen"/>
      <selection pane="bottomLeft" activeCell="H26" sqref="H26"/>
    </sheetView>
  </sheetViews>
  <sheetFormatPr defaultRowHeight="14.5" x14ac:dyDescent="0.35"/>
  <cols>
    <col min="1" max="1" width="17.7265625" customWidth="1"/>
    <col min="2" max="2" width="17.36328125" style="4" customWidth="1"/>
    <col min="3" max="3" width="32.1796875" customWidth="1"/>
    <col min="4" max="4" width="16.81640625" customWidth="1"/>
    <col min="5" max="5" width="15.1796875" customWidth="1"/>
    <col min="6" max="6" width="16.1796875" customWidth="1"/>
    <col min="7" max="7" width="9.7265625" bestFit="1" customWidth="1"/>
    <col min="8" max="9" width="13.81640625" customWidth="1"/>
    <col min="10" max="10" width="11.453125" customWidth="1"/>
    <col min="11" max="11" width="6.81640625" bestFit="1" customWidth="1"/>
    <col min="12" max="12" width="10.7265625" bestFit="1" customWidth="1"/>
  </cols>
  <sheetData>
    <row r="1" spans="1:9" x14ac:dyDescent="0.35">
      <c r="A1" s="95" t="s">
        <v>27</v>
      </c>
      <c r="B1" s="96" t="s">
        <v>0</v>
      </c>
      <c r="C1" s="95" t="s">
        <v>1</v>
      </c>
      <c r="D1" s="95" t="s">
        <v>2</v>
      </c>
      <c r="E1" s="95" t="s">
        <v>3</v>
      </c>
      <c r="F1" s="95" t="s">
        <v>4</v>
      </c>
      <c r="G1" s="95" t="s">
        <v>5</v>
      </c>
      <c r="H1" s="95" t="s">
        <v>6</v>
      </c>
      <c r="I1" s="95" t="s">
        <v>7</v>
      </c>
    </row>
    <row r="2" spans="1:9" x14ac:dyDescent="0.35">
      <c r="A2" s="7">
        <v>1</v>
      </c>
      <c r="B2" s="8">
        <v>43106</v>
      </c>
      <c r="C2" s="9" t="s">
        <v>8</v>
      </c>
      <c r="D2" s="10" t="s">
        <v>9</v>
      </c>
      <c r="E2" s="11" t="s">
        <v>10</v>
      </c>
      <c r="F2" s="14" t="s">
        <v>11</v>
      </c>
      <c r="G2" s="12">
        <v>95</v>
      </c>
      <c r="H2" s="1">
        <v>1198</v>
      </c>
      <c r="I2" s="13">
        <f>G2*H2</f>
        <v>113810</v>
      </c>
    </row>
    <row r="3" spans="1:9" x14ac:dyDescent="0.35">
      <c r="A3" s="7">
        <v>2</v>
      </c>
      <c r="B3" s="8">
        <v>43123</v>
      </c>
      <c r="C3" s="9" t="s">
        <v>12</v>
      </c>
      <c r="D3" s="10" t="s">
        <v>13</v>
      </c>
      <c r="E3" s="11" t="s">
        <v>14</v>
      </c>
      <c r="F3" s="14" t="s">
        <v>15</v>
      </c>
      <c r="G3" s="15">
        <v>50</v>
      </c>
      <c r="H3" s="1">
        <v>400</v>
      </c>
      <c r="I3" s="13">
        <f t="shared" ref="I3:I11" si="0">G3*H3</f>
        <v>20000</v>
      </c>
    </row>
    <row r="4" spans="1:9" x14ac:dyDescent="0.35">
      <c r="A4" s="7">
        <v>3</v>
      </c>
      <c r="B4" s="8">
        <v>43140</v>
      </c>
      <c r="C4" s="9" t="s">
        <v>8</v>
      </c>
      <c r="D4" s="10" t="s">
        <v>13</v>
      </c>
      <c r="E4" s="11"/>
      <c r="F4" s="14" t="s">
        <v>11</v>
      </c>
      <c r="G4" s="15">
        <v>36</v>
      </c>
      <c r="H4" s="1">
        <v>1198</v>
      </c>
      <c r="I4" s="13">
        <f t="shared" si="0"/>
        <v>43128</v>
      </c>
    </row>
    <row r="5" spans="1:9" x14ac:dyDescent="0.35">
      <c r="A5" s="7">
        <v>4</v>
      </c>
      <c r="B5" s="8">
        <v>43157</v>
      </c>
      <c r="C5" s="9" t="s">
        <v>12</v>
      </c>
      <c r="D5" s="10" t="s">
        <v>17</v>
      </c>
      <c r="E5" s="11" t="s">
        <v>18</v>
      </c>
      <c r="F5" s="14" t="s">
        <v>19</v>
      </c>
      <c r="G5" s="15">
        <v>27</v>
      </c>
      <c r="H5" s="1">
        <v>225</v>
      </c>
      <c r="I5" s="13">
        <f t="shared" si="0"/>
        <v>6075</v>
      </c>
    </row>
    <row r="6" spans="1:9" x14ac:dyDescent="0.35">
      <c r="A6" s="7">
        <v>5</v>
      </c>
      <c r="B6" s="8">
        <v>43174</v>
      </c>
      <c r="C6" s="9" t="s">
        <v>20</v>
      </c>
      <c r="D6" s="10" t="s">
        <v>17</v>
      </c>
      <c r="E6" s="11" t="s">
        <v>21</v>
      </c>
      <c r="F6" s="14" t="s">
        <v>11</v>
      </c>
      <c r="G6" s="101">
        <v>23</v>
      </c>
      <c r="H6" s="1">
        <v>1198</v>
      </c>
      <c r="I6" s="13">
        <f t="shared" si="0"/>
        <v>27554</v>
      </c>
    </row>
    <row r="7" spans="1:9" x14ac:dyDescent="0.35">
      <c r="A7" s="7">
        <v>6</v>
      </c>
      <c r="B7" s="8">
        <v>43191</v>
      </c>
      <c r="C7" s="9" t="s">
        <v>8</v>
      </c>
      <c r="D7" s="10" t="s">
        <v>9</v>
      </c>
      <c r="E7" s="11" t="s">
        <v>10</v>
      </c>
      <c r="F7" s="14" t="s">
        <v>15</v>
      </c>
      <c r="G7" s="15">
        <v>60</v>
      </c>
      <c r="H7" s="1">
        <v>500</v>
      </c>
      <c r="I7" s="13">
        <f t="shared" si="0"/>
        <v>30000</v>
      </c>
    </row>
    <row r="8" spans="1:9" x14ac:dyDescent="0.35">
      <c r="A8" s="7">
        <v>7</v>
      </c>
      <c r="B8" s="8">
        <v>43208</v>
      </c>
      <c r="C8" s="9" t="s">
        <v>12</v>
      </c>
      <c r="D8" s="11" t="s">
        <v>9</v>
      </c>
      <c r="E8" s="11"/>
      <c r="F8" s="14" t="s">
        <v>11</v>
      </c>
      <c r="G8" s="15">
        <v>75</v>
      </c>
      <c r="H8" s="1">
        <v>1198</v>
      </c>
      <c r="I8" s="13">
        <f>G8*H8</f>
        <v>89850</v>
      </c>
    </row>
    <row r="9" spans="1:9" x14ac:dyDescent="0.35">
      <c r="A9" s="7">
        <v>8</v>
      </c>
      <c r="B9" s="8">
        <v>43225</v>
      </c>
      <c r="C9" s="9" t="s">
        <v>12</v>
      </c>
      <c r="D9" s="10" t="s">
        <v>13</v>
      </c>
      <c r="E9" s="11" t="s">
        <v>16</v>
      </c>
      <c r="F9" s="14" t="s">
        <v>11</v>
      </c>
      <c r="G9" s="15">
        <v>90</v>
      </c>
      <c r="H9" s="1">
        <v>1198</v>
      </c>
      <c r="I9" s="13">
        <f t="shared" si="0"/>
        <v>107820</v>
      </c>
    </row>
    <row r="10" spans="1:9" x14ac:dyDescent="0.35">
      <c r="A10" s="7">
        <v>9</v>
      </c>
      <c r="B10" s="8">
        <v>43242</v>
      </c>
      <c r="C10" s="9" t="s">
        <v>20</v>
      </c>
      <c r="D10" s="16" t="s">
        <v>23</v>
      </c>
      <c r="E10" s="11" t="s">
        <v>24</v>
      </c>
      <c r="F10" s="14" t="s">
        <v>11</v>
      </c>
      <c r="G10" s="15">
        <v>32</v>
      </c>
      <c r="H10" s="6">
        <v>1198</v>
      </c>
      <c r="I10" s="13">
        <f t="shared" si="0"/>
        <v>38336</v>
      </c>
    </row>
    <row r="11" spans="1:9" x14ac:dyDescent="0.35">
      <c r="A11" s="7">
        <v>10</v>
      </c>
      <c r="B11" s="8">
        <v>43259</v>
      </c>
      <c r="C11" s="9" t="s">
        <v>12</v>
      </c>
      <c r="D11" s="10" t="s">
        <v>9</v>
      </c>
      <c r="E11" s="11" t="s">
        <v>10</v>
      </c>
      <c r="F11" s="14" t="s">
        <v>15</v>
      </c>
      <c r="G11" s="15">
        <v>60</v>
      </c>
      <c r="H11" s="6">
        <v>500</v>
      </c>
      <c r="I11" s="13">
        <f t="shared" si="0"/>
        <v>30000</v>
      </c>
    </row>
    <row r="14" spans="1:9" x14ac:dyDescent="0.35">
      <c r="A14" s="87" t="s">
        <v>205</v>
      </c>
      <c r="B14" s="88" t="s">
        <v>168</v>
      </c>
      <c r="C14" s="87" t="s">
        <v>169</v>
      </c>
    </row>
    <row r="15" spans="1:9" x14ac:dyDescent="0.35">
      <c r="A15" s="48" t="s">
        <v>206</v>
      </c>
      <c r="B15" s="7">
        <f>COUNT(G2:G11)</f>
        <v>10</v>
      </c>
      <c r="C15" s="48" t="s">
        <v>209</v>
      </c>
    </row>
    <row r="16" spans="1:9" x14ac:dyDescent="0.35">
      <c r="A16" s="48" t="s">
        <v>207</v>
      </c>
      <c r="B16" s="7">
        <f>COUNTA(F2:F11)</f>
        <v>10</v>
      </c>
      <c r="C16" s="48" t="s">
        <v>210</v>
      </c>
    </row>
    <row r="17" spans="1:7" x14ac:dyDescent="0.35">
      <c r="A17" s="48" t="s">
        <v>207</v>
      </c>
      <c r="B17" s="7">
        <f>COUNTA(G2:G11)</f>
        <v>10</v>
      </c>
      <c r="C17" s="48" t="s">
        <v>211</v>
      </c>
      <c r="E17" s="97" t="s">
        <v>1</v>
      </c>
      <c r="F17" s="97" t="s">
        <v>218</v>
      </c>
      <c r="G17" s="99" t="s">
        <v>219</v>
      </c>
    </row>
    <row r="18" spans="1:7" x14ac:dyDescent="0.35">
      <c r="A18" s="48" t="s">
        <v>208</v>
      </c>
      <c r="B18" s="7">
        <f>COUNTBLANK(E2:E11)</f>
        <v>2</v>
      </c>
      <c r="C18" s="48" t="s">
        <v>212</v>
      </c>
      <c r="E18" s="98" t="s">
        <v>20</v>
      </c>
      <c r="F18" s="7">
        <f>COUNTIF(C2:C11,E18)</f>
        <v>2</v>
      </c>
      <c r="G18" s="48" t="s">
        <v>215</v>
      </c>
    </row>
    <row r="19" spans="1:7" x14ac:dyDescent="0.35">
      <c r="A19" s="48" t="s">
        <v>213</v>
      </c>
      <c r="B19" s="7">
        <f>COUNTA(_xlfn.UNIQUE(C2:C11))</f>
        <v>3</v>
      </c>
      <c r="C19" s="48" t="s">
        <v>214</v>
      </c>
      <c r="E19" s="100" t="s">
        <v>12</v>
      </c>
      <c r="F19" s="7">
        <f>COUNTIFS(C2:C11, E19)</f>
        <v>5</v>
      </c>
      <c r="G19" s="48" t="s">
        <v>220</v>
      </c>
    </row>
    <row r="20" spans="1:7" x14ac:dyDescent="0.35">
      <c r="A20" s="48" t="s">
        <v>215</v>
      </c>
      <c r="B20" s="7">
        <f>COUNTIF(C2:C11, "East")</f>
        <v>3</v>
      </c>
      <c r="C20" s="48" t="s">
        <v>216</v>
      </c>
    </row>
    <row r="21" spans="1:7" x14ac:dyDescent="0.35">
      <c r="A21" s="48" t="s">
        <v>215</v>
      </c>
      <c r="B21" s="7">
        <f>COUNTIF(G2:G11, "&gt;50")</f>
        <v>5</v>
      </c>
      <c r="C21" s="48" t="s">
        <v>217</v>
      </c>
    </row>
    <row r="22" spans="1:7" x14ac:dyDescent="0.35">
      <c r="A22" s="48" t="s">
        <v>220</v>
      </c>
      <c r="B22" s="7">
        <f>COUNTIFS(C2:C11, "East", F2:F11, "Television")</f>
        <v>2</v>
      </c>
      <c r="C22" s="48" t="s">
        <v>221</v>
      </c>
    </row>
    <row r="23" spans="1:7" x14ac:dyDescent="0.35">
      <c r="A23" s="48" t="s">
        <v>222</v>
      </c>
      <c r="B23" s="102">
        <f>SUM(I2:I11)</f>
        <v>506573</v>
      </c>
      <c r="C23" s="48" t="s">
        <v>223</v>
      </c>
    </row>
    <row r="24" spans="1:7" x14ac:dyDescent="0.35">
      <c r="A24" s="48" t="s">
        <v>224</v>
      </c>
      <c r="B24" s="103">
        <f>SUMIF(F2:F11, "Television", I2:I11)</f>
        <v>420498</v>
      </c>
      <c r="C24" s="48" t="s">
        <v>225</v>
      </c>
    </row>
    <row r="25" spans="1:7" x14ac:dyDescent="0.35">
      <c r="A25" s="48" t="s">
        <v>226</v>
      </c>
      <c r="B25" s="103">
        <f>SUMIFS(I2:I11, F2:F11, "Television")</f>
        <v>420498</v>
      </c>
      <c r="C25" s="48" t="s">
        <v>225</v>
      </c>
    </row>
    <row r="26" spans="1:7" x14ac:dyDescent="0.35">
      <c r="A26" s="48" t="s">
        <v>226</v>
      </c>
      <c r="B26" s="103">
        <f>SUMIFS(I2:I11, C2:C11, "East", F2:F11, "Television")</f>
        <v>156938</v>
      </c>
      <c r="C26" s="48" t="s">
        <v>227</v>
      </c>
    </row>
    <row r="27" spans="1:7" x14ac:dyDescent="0.35">
      <c r="A27" s="48" t="s">
        <v>231</v>
      </c>
      <c r="B27" s="104"/>
      <c r="C27" s="48" t="s">
        <v>228</v>
      </c>
    </row>
    <row r="28" spans="1:7" x14ac:dyDescent="0.35">
      <c r="A28" s="48" t="s">
        <v>232</v>
      </c>
      <c r="B28" s="104"/>
      <c r="C28" s="48" t="s">
        <v>229</v>
      </c>
    </row>
    <row r="29" spans="1:7" x14ac:dyDescent="0.35">
      <c r="A29" s="48" t="s">
        <v>233</v>
      </c>
      <c r="B29" s="104"/>
      <c r="C29" s="48" t="s">
        <v>229</v>
      </c>
    </row>
    <row r="30" spans="1:7" x14ac:dyDescent="0.35">
      <c r="A30" s="48" t="s">
        <v>233</v>
      </c>
      <c r="B30" s="104"/>
      <c r="C30" s="48" t="s">
        <v>230</v>
      </c>
    </row>
    <row r="31" spans="1:7" x14ac:dyDescent="0.35">
      <c r="A31" s="48" t="s">
        <v>234</v>
      </c>
      <c r="B31" s="102">
        <f>MIN(I2:I11)</f>
        <v>6075</v>
      </c>
      <c r="C31" s="48" t="s">
        <v>235</v>
      </c>
    </row>
    <row r="32" spans="1:7" x14ac:dyDescent="0.35">
      <c r="A32" s="48" t="s">
        <v>236</v>
      </c>
      <c r="B32" s="103">
        <f>_xlfn.MINIFS(I2:I11, F2:F11, "Television")</f>
        <v>27554</v>
      </c>
      <c r="C32" s="48" t="s">
        <v>237</v>
      </c>
    </row>
    <row r="33" spans="1:3" x14ac:dyDescent="0.35">
      <c r="A33" s="48" t="s">
        <v>238</v>
      </c>
      <c r="B33" s="104"/>
      <c r="C33" s="48" t="s">
        <v>240</v>
      </c>
    </row>
    <row r="34" spans="1:3" x14ac:dyDescent="0.35">
      <c r="A34" s="48" t="s">
        <v>239</v>
      </c>
      <c r="B34" s="104"/>
      <c r="C34" s="48" t="s">
        <v>241</v>
      </c>
    </row>
  </sheetData>
  <autoFilter ref="A1:I11" xr:uid="{BAF55E6E-15CA-42E7-85D6-568C3BCDF332}"/>
  <dataValidations count="1">
    <dataValidation type="list" allowBlank="1" showInputMessage="1" showErrorMessage="1" sqref="E18:E19" xr:uid="{4F39B8BE-87A5-41FA-A3B2-F2B6DDF78970}">
      <formula1>$C$2:$C$11</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D8BF8-52D5-40B6-9455-0786F3A8F67D}">
  <sheetPr>
    <tabColor rgb="FFFFCCFF"/>
  </sheetPr>
  <dimension ref="A1:I15"/>
  <sheetViews>
    <sheetView zoomScale="175" zoomScaleNormal="175" workbookViewId="0">
      <pane ySplit="1" topLeftCell="A2" activePane="bottomLeft" state="frozen"/>
      <selection pane="bottomLeft" activeCell="H17" sqref="H17"/>
    </sheetView>
  </sheetViews>
  <sheetFormatPr defaultRowHeight="14.5" outlineLevelRow="2" x14ac:dyDescent="0.35"/>
  <cols>
    <col min="1" max="1" width="12.08984375" bestFit="1" customWidth="1"/>
    <col min="2" max="2" width="15.453125" customWidth="1"/>
    <col min="3" max="3" width="11" bestFit="1" customWidth="1"/>
    <col min="4" max="4" width="16.81640625" customWidth="1"/>
    <col min="5" max="5" width="15.1796875" customWidth="1"/>
    <col min="6" max="6" width="16.1796875" customWidth="1"/>
    <col min="7" max="7" width="9.7265625" bestFit="1" customWidth="1"/>
    <col min="8" max="9" width="13.81640625" customWidth="1"/>
    <col min="10" max="10" width="11.453125" customWidth="1"/>
    <col min="11" max="11" width="6.81640625" bestFit="1" customWidth="1"/>
    <col min="12" max="12" width="10.7265625" bestFit="1" customWidth="1"/>
  </cols>
  <sheetData>
    <row r="1" spans="1:9" x14ac:dyDescent="0.35">
      <c r="A1" s="95" t="s">
        <v>27</v>
      </c>
      <c r="B1" s="96" t="s">
        <v>0</v>
      </c>
      <c r="C1" s="95" t="s">
        <v>1</v>
      </c>
      <c r="D1" s="95" t="s">
        <v>2</v>
      </c>
      <c r="E1" s="95" t="s">
        <v>3</v>
      </c>
      <c r="F1" s="95" t="s">
        <v>4</v>
      </c>
      <c r="G1" s="95" t="s">
        <v>5</v>
      </c>
      <c r="H1" s="95" t="s">
        <v>6</v>
      </c>
      <c r="I1" s="95" t="s">
        <v>7</v>
      </c>
    </row>
    <row r="2" spans="1:9" outlineLevel="2" x14ac:dyDescent="0.35">
      <c r="A2" s="7">
        <v>2</v>
      </c>
      <c r="B2" s="8">
        <v>43123</v>
      </c>
      <c r="C2" s="9" t="s">
        <v>12</v>
      </c>
      <c r="D2" s="10" t="s">
        <v>13</v>
      </c>
      <c r="E2" s="11" t="s">
        <v>14</v>
      </c>
      <c r="F2" s="14" t="s">
        <v>15</v>
      </c>
      <c r="G2" s="15">
        <v>50</v>
      </c>
      <c r="H2" s="1">
        <v>400</v>
      </c>
      <c r="I2" s="13">
        <f>G2*H2</f>
        <v>20000</v>
      </c>
    </row>
    <row r="3" spans="1:9" outlineLevel="2" x14ac:dyDescent="0.35">
      <c r="A3" s="7">
        <v>3</v>
      </c>
      <c r="B3" s="8">
        <v>43140</v>
      </c>
      <c r="C3" s="9" t="s">
        <v>12</v>
      </c>
      <c r="D3" s="10" t="s">
        <v>13</v>
      </c>
      <c r="E3" s="11" t="s">
        <v>16</v>
      </c>
      <c r="F3" s="14" t="s">
        <v>11</v>
      </c>
      <c r="G3" s="15">
        <v>36</v>
      </c>
      <c r="H3" s="1">
        <v>1198</v>
      </c>
      <c r="I3" s="13">
        <f>G3*H3</f>
        <v>43128</v>
      </c>
    </row>
    <row r="4" spans="1:9" outlineLevel="2" x14ac:dyDescent="0.35">
      <c r="A4" s="7">
        <v>4</v>
      </c>
      <c r="B4" s="8">
        <v>43157</v>
      </c>
      <c r="C4" s="9" t="s">
        <v>12</v>
      </c>
      <c r="D4" s="10" t="s">
        <v>17</v>
      </c>
      <c r="E4" s="11" t="s">
        <v>18</v>
      </c>
      <c r="F4" s="14" t="s">
        <v>19</v>
      </c>
      <c r="G4" s="15">
        <v>27</v>
      </c>
      <c r="H4" s="1">
        <v>225</v>
      </c>
      <c r="I4" s="13">
        <f>G4*H4</f>
        <v>6075</v>
      </c>
    </row>
    <row r="5" spans="1:9" outlineLevel="2" x14ac:dyDescent="0.35">
      <c r="A5" s="7">
        <v>7</v>
      </c>
      <c r="B5" s="8">
        <v>43208</v>
      </c>
      <c r="C5" s="9" t="s">
        <v>12</v>
      </c>
      <c r="D5" s="11" t="s">
        <v>9</v>
      </c>
      <c r="E5" s="11" t="s">
        <v>22</v>
      </c>
      <c r="F5" s="14" t="s">
        <v>11</v>
      </c>
      <c r="G5" s="15">
        <v>75</v>
      </c>
      <c r="H5" s="1">
        <v>1198</v>
      </c>
      <c r="I5" s="13">
        <f>G5*H5</f>
        <v>89850</v>
      </c>
    </row>
    <row r="6" spans="1:9" outlineLevel="2" x14ac:dyDescent="0.35">
      <c r="A6" s="7">
        <v>8</v>
      </c>
      <c r="B6" s="8">
        <v>43225</v>
      </c>
      <c r="C6" s="9" t="s">
        <v>12</v>
      </c>
      <c r="D6" s="10" t="s">
        <v>13</v>
      </c>
      <c r="E6" s="11" t="s">
        <v>16</v>
      </c>
      <c r="F6" s="14" t="s">
        <v>11</v>
      </c>
      <c r="G6" s="15">
        <v>90</v>
      </c>
      <c r="H6" s="1">
        <v>1198</v>
      </c>
      <c r="I6" s="13">
        <f>G6*H6</f>
        <v>107820</v>
      </c>
    </row>
    <row r="7" spans="1:9" outlineLevel="1" x14ac:dyDescent="0.35">
      <c r="A7" s="7"/>
      <c r="B7" s="8"/>
      <c r="C7" s="106" t="s">
        <v>243</v>
      </c>
      <c r="D7" s="107"/>
      <c r="E7" s="108"/>
      <c r="F7" s="109"/>
      <c r="G7" s="110"/>
      <c r="H7" s="111"/>
      <c r="I7" s="112">
        <f>SUBTOTAL(9,I2:I6)</f>
        <v>266873</v>
      </c>
    </row>
    <row r="8" spans="1:9" outlineLevel="2" x14ac:dyDescent="0.35">
      <c r="A8" s="7">
        <v>1</v>
      </c>
      <c r="B8" s="8">
        <v>43106</v>
      </c>
      <c r="C8" s="9" t="s">
        <v>8</v>
      </c>
      <c r="D8" s="10" t="s">
        <v>9</v>
      </c>
      <c r="E8" s="11" t="s">
        <v>10</v>
      </c>
      <c r="F8" s="11" t="s">
        <v>11</v>
      </c>
      <c r="G8" s="12">
        <v>95</v>
      </c>
      <c r="H8" s="1">
        <v>1198</v>
      </c>
      <c r="I8" s="13">
        <f>G8*H8</f>
        <v>113810</v>
      </c>
    </row>
    <row r="9" spans="1:9" outlineLevel="2" x14ac:dyDescent="0.35">
      <c r="A9" s="7">
        <v>6</v>
      </c>
      <c r="B9" s="8">
        <v>43191</v>
      </c>
      <c r="C9" s="9" t="s">
        <v>8</v>
      </c>
      <c r="D9" s="10" t="s">
        <v>9</v>
      </c>
      <c r="E9" s="11" t="s">
        <v>10</v>
      </c>
      <c r="F9" s="14" t="s">
        <v>15</v>
      </c>
      <c r="G9" s="15">
        <v>60</v>
      </c>
      <c r="H9" s="1">
        <v>500</v>
      </c>
      <c r="I9" s="13">
        <f>G9*H9</f>
        <v>30000</v>
      </c>
    </row>
    <row r="10" spans="1:9" outlineLevel="2" x14ac:dyDescent="0.35">
      <c r="A10" s="7">
        <v>10</v>
      </c>
      <c r="B10" s="8">
        <v>43259</v>
      </c>
      <c r="C10" s="9" t="s">
        <v>8</v>
      </c>
      <c r="D10" s="10" t="s">
        <v>9</v>
      </c>
      <c r="E10" s="11" t="s">
        <v>10</v>
      </c>
      <c r="F10" s="14" t="s">
        <v>15</v>
      </c>
      <c r="G10" s="15">
        <v>60</v>
      </c>
      <c r="H10" s="6">
        <v>500</v>
      </c>
      <c r="I10" s="13">
        <f>G10*H10</f>
        <v>30000</v>
      </c>
    </row>
    <row r="11" spans="1:9" outlineLevel="1" x14ac:dyDescent="0.35">
      <c r="A11" s="7"/>
      <c r="B11" s="8"/>
      <c r="C11" s="106" t="s">
        <v>242</v>
      </c>
      <c r="D11" s="107"/>
      <c r="E11" s="108"/>
      <c r="F11" s="109"/>
      <c r="G11" s="110"/>
      <c r="H11" s="113"/>
      <c r="I11" s="112">
        <f>SUBTOTAL(9,I8:I10)</f>
        <v>173810</v>
      </c>
    </row>
    <row r="12" spans="1:9" outlineLevel="2" x14ac:dyDescent="0.35">
      <c r="A12" s="7">
        <v>5</v>
      </c>
      <c r="B12" s="8">
        <v>43174</v>
      </c>
      <c r="C12" s="9" t="s">
        <v>20</v>
      </c>
      <c r="D12" s="10" t="s">
        <v>17</v>
      </c>
      <c r="E12" s="11" t="s">
        <v>21</v>
      </c>
      <c r="F12" s="14" t="s">
        <v>11</v>
      </c>
      <c r="G12" s="15">
        <v>56</v>
      </c>
      <c r="H12" s="1">
        <v>1198</v>
      </c>
      <c r="I12" s="13">
        <f>G12*H12</f>
        <v>67088</v>
      </c>
    </row>
    <row r="13" spans="1:9" outlineLevel="2" x14ac:dyDescent="0.35">
      <c r="A13" s="7">
        <v>9</v>
      </c>
      <c r="B13" s="8">
        <v>43242</v>
      </c>
      <c r="C13" s="9" t="s">
        <v>20</v>
      </c>
      <c r="D13" s="16" t="s">
        <v>23</v>
      </c>
      <c r="E13" s="11" t="s">
        <v>24</v>
      </c>
      <c r="F13" s="14" t="s">
        <v>11</v>
      </c>
      <c r="G13" s="15">
        <v>32</v>
      </c>
      <c r="H13" s="6">
        <v>1198</v>
      </c>
      <c r="I13" s="13">
        <f>G13*H13</f>
        <v>38336</v>
      </c>
    </row>
    <row r="14" spans="1:9" outlineLevel="1" x14ac:dyDescent="0.35">
      <c r="A14" s="4"/>
      <c r="B14" s="105"/>
      <c r="C14" s="114" t="s">
        <v>244</v>
      </c>
      <c r="D14" s="115"/>
      <c r="E14" s="116"/>
      <c r="F14" s="117"/>
      <c r="G14" s="118"/>
      <c r="H14" s="119"/>
      <c r="I14" s="120">
        <f>SUBTOTAL(9,I12:I13)</f>
        <v>105424</v>
      </c>
    </row>
    <row r="15" spans="1:9" x14ac:dyDescent="0.35">
      <c r="A15" s="4"/>
      <c r="B15" s="105"/>
      <c r="C15" s="121" t="s">
        <v>95</v>
      </c>
      <c r="D15" s="122"/>
      <c r="E15" s="123"/>
      <c r="F15" s="124"/>
      <c r="G15" s="125"/>
      <c r="H15" s="126"/>
      <c r="I15" s="127">
        <f>SUBTOTAL(9,I2:I13)</f>
        <v>546107</v>
      </c>
    </row>
  </sheetData>
  <autoFilter ref="A1:I1" xr:uid="{BAF55E6E-15CA-42E7-85D6-568C3BCDF332}">
    <sortState xmlns:xlrd2="http://schemas.microsoft.com/office/spreadsheetml/2017/richdata2" ref="A2:I11">
      <sortCondition ref="C1"/>
    </sortState>
  </autoFilter>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A441-E421-4949-B45B-A94AD28D8F42}">
  <dimension ref="A1:H20"/>
  <sheetViews>
    <sheetView tabSelected="1" zoomScale="115" zoomScaleNormal="115" workbookViewId="0">
      <pane ySplit="1" topLeftCell="A7" activePane="bottomLeft" state="frozen"/>
      <selection pane="bottomLeft" activeCell="H13" sqref="H13"/>
    </sheetView>
  </sheetViews>
  <sheetFormatPr defaultRowHeight="14.5" x14ac:dyDescent="0.35"/>
  <cols>
    <col min="1" max="1" width="10.08984375" style="4" customWidth="1"/>
    <col min="2" max="2" width="16.36328125" style="4" customWidth="1"/>
    <col min="3" max="4" width="7.6328125" style="4" customWidth="1"/>
    <col min="5" max="5" width="14.36328125" style="4" customWidth="1"/>
    <col min="6" max="6" width="17.54296875" style="4" customWidth="1"/>
    <col min="7" max="7" width="15.7265625" style="4" customWidth="1"/>
    <col min="8" max="8" width="20.6328125" style="4" customWidth="1"/>
  </cols>
  <sheetData>
    <row r="1" spans="1:8" s="130" customFormat="1" x14ac:dyDescent="0.35">
      <c r="A1" s="95" t="s">
        <v>245</v>
      </c>
      <c r="B1" s="95" t="s">
        <v>246</v>
      </c>
      <c r="C1" s="95" t="s">
        <v>247</v>
      </c>
      <c r="D1" s="95" t="s">
        <v>248</v>
      </c>
      <c r="E1" s="128" t="s">
        <v>219</v>
      </c>
      <c r="F1" s="129" t="s">
        <v>205</v>
      </c>
      <c r="G1" s="128" t="s">
        <v>253</v>
      </c>
      <c r="H1" s="95" t="s">
        <v>249</v>
      </c>
    </row>
    <row r="2" spans="1:8" s="130" customFormat="1" ht="43" customHeight="1" x14ac:dyDescent="0.35">
      <c r="A2" s="131">
        <v>10</v>
      </c>
      <c r="B2" s="131">
        <v>12</v>
      </c>
      <c r="C2" s="131"/>
      <c r="D2" s="131"/>
      <c r="E2" s="136" t="s">
        <v>250</v>
      </c>
      <c r="F2" s="133" t="s">
        <v>251</v>
      </c>
      <c r="G2" s="135" t="s">
        <v>252</v>
      </c>
      <c r="H2" s="134" t="str">
        <f>IF(A2&lt;B2, "Right", "Wrong")</f>
        <v>Right</v>
      </c>
    </row>
    <row r="3" spans="1:8" s="130" customFormat="1" ht="20.5" customHeight="1" x14ac:dyDescent="0.35">
      <c r="A3" s="131">
        <v>19</v>
      </c>
      <c r="B3" s="131">
        <v>15</v>
      </c>
      <c r="C3" s="131"/>
      <c r="D3" s="131"/>
      <c r="E3" s="136" t="s">
        <v>250</v>
      </c>
      <c r="F3" s="131"/>
      <c r="G3" s="131"/>
      <c r="H3" s="134" t="str">
        <f>IF(A3=B3, "Equal", "Not Equal")</f>
        <v>Not Equal</v>
      </c>
    </row>
    <row r="4" spans="1:8" s="130" customFormat="1" ht="29" customHeight="1" x14ac:dyDescent="0.35">
      <c r="A4" s="131">
        <v>5</v>
      </c>
      <c r="B4" s="131">
        <v>10</v>
      </c>
      <c r="C4" s="131"/>
      <c r="D4" s="131"/>
      <c r="E4" s="136" t="s">
        <v>250</v>
      </c>
      <c r="F4" s="131"/>
      <c r="G4" s="17"/>
      <c r="H4" s="134">
        <f>IF(B4&lt;A4, B4-A4, B4+A4)</f>
        <v>15</v>
      </c>
    </row>
    <row r="5" spans="1:8" s="130" customFormat="1" ht="48" customHeight="1" x14ac:dyDescent="0.35">
      <c r="A5" s="131">
        <v>10856</v>
      </c>
      <c r="B5" s="131"/>
      <c r="C5" s="131"/>
      <c r="D5" s="131"/>
      <c r="E5" s="136" t="s">
        <v>250</v>
      </c>
      <c r="F5" s="131"/>
      <c r="G5" s="138" t="s">
        <v>254</v>
      </c>
      <c r="H5" s="139" t="str">
        <f>"Shop for = " &amp; A5 &amp; ", Get Discount = " &amp; IF(A5&lt;5000, A5*10%, A5*20%)</f>
        <v>Shop for = 10856, Get Discount = 2171.2</v>
      </c>
    </row>
    <row r="6" spans="1:8" s="130" customFormat="1" ht="27.5" customHeight="1" x14ac:dyDescent="0.35">
      <c r="A6" s="131">
        <v>32</v>
      </c>
      <c r="B6" s="131"/>
      <c r="C6" s="131"/>
      <c r="D6" s="131"/>
      <c r="E6" s="142" t="s">
        <v>255</v>
      </c>
      <c r="F6" s="137" t="s">
        <v>256</v>
      </c>
      <c r="G6" s="131"/>
      <c r="H6" s="134" t="str" cm="1">
        <f t="array" ref="H6">_xlfn.IFS(A6&gt;30, "A", A6&gt;20, "B", A6&gt;10, "C")</f>
        <v>A</v>
      </c>
    </row>
    <row r="7" spans="1:8" s="130" customFormat="1" ht="20.5" customHeight="1" x14ac:dyDescent="0.35">
      <c r="A7" s="131">
        <v>19</v>
      </c>
      <c r="B7" s="131">
        <v>10</v>
      </c>
      <c r="C7" s="131">
        <v>15</v>
      </c>
      <c r="D7" s="131">
        <v>12</v>
      </c>
      <c r="E7" s="136" t="s">
        <v>273</v>
      </c>
      <c r="F7" s="132" t="s">
        <v>275</v>
      </c>
      <c r="G7" s="131"/>
      <c r="H7" s="134" t="b">
        <f>AND(A7&gt;B7, C7&gt;D7, B7&lt;D7)</f>
        <v>1</v>
      </c>
    </row>
    <row r="8" spans="1:8" s="130" customFormat="1" ht="20.5" customHeight="1" x14ac:dyDescent="0.35">
      <c r="A8" s="131">
        <v>10</v>
      </c>
      <c r="B8" s="131">
        <v>9</v>
      </c>
      <c r="C8" s="131">
        <v>8</v>
      </c>
      <c r="D8" s="131">
        <v>12</v>
      </c>
      <c r="E8" s="136" t="s">
        <v>274</v>
      </c>
      <c r="F8" s="132" t="s">
        <v>276</v>
      </c>
      <c r="G8" s="131"/>
      <c r="H8" s="134" t="b">
        <f>OR(A8&gt;B8, C8&gt;D8, A8=B8)</f>
        <v>1</v>
      </c>
    </row>
    <row r="9" spans="1:8" s="130" customFormat="1" ht="20.5" customHeight="1" x14ac:dyDescent="0.35">
      <c r="A9" s="131">
        <v>100</v>
      </c>
      <c r="B9" s="131">
        <v>50</v>
      </c>
      <c r="C9" s="131"/>
      <c r="D9" s="131"/>
      <c r="E9" s="136" t="s">
        <v>277</v>
      </c>
      <c r="F9" s="132" t="s">
        <v>278</v>
      </c>
      <c r="G9" s="131"/>
      <c r="H9" s="134" t="b">
        <f>NOT(B9&gt;A9)</f>
        <v>1</v>
      </c>
    </row>
    <row r="12" spans="1:8" x14ac:dyDescent="0.35">
      <c r="E12" s="144" t="s">
        <v>271</v>
      </c>
      <c r="F12" s="144" t="s">
        <v>272</v>
      </c>
    </row>
    <row r="13" spans="1:8" x14ac:dyDescent="0.35">
      <c r="A13" s="156" t="s">
        <v>255</v>
      </c>
      <c r="B13" s="156"/>
      <c r="E13" s="143" t="s">
        <v>262</v>
      </c>
      <c r="F13" s="7" t="s">
        <v>261</v>
      </c>
    </row>
    <row r="14" spans="1:8" x14ac:dyDescent="0.35">
      <c r="A14" s="145" t="s">
        <v>257</v>
      </c>
      <c r="B14" s="145" t="s">
        <v>258</v>
      </c>
      <c r="E14" s="7" t="s">
        <v>263</v>
      </c>
      <c r="F14" s="7" t="s">
        <v>259</v>
      </c>
    </row>
    <row r="15" spans="1:8" x14ac:dyDescent="0.35">
      <c r="A15" s="7">
        <v>102</v>
      </c>
      <c r="B15" s="7" t="str" cm="1">
        <f t="array" ref="B15">_xlfn.IFS(OR(A15&gt;100, A15&lt;0), $F$13, A15&gt;=75, $F$14, A15&gt;=60, $F$15, A15&gt;=45, $F$16, A15&gt;=30, $F$17, A15&gt;=0, $F$18)</f>
        <v>Invalid Entry</v>
      </c>
      <c r="E15" s="7" t="s">
        <v>264</v>
      </c>
      <c r="F15" s="7" t="s">
        <v>265</v>
      </c>
    </row>
    <row r="16" spans="1:8" x14ac:dyDescent="0.35">
      <c r="A16" s="7">
        <v>44</v>
      </c>
      <c r="B16" s="7" t="str" cm="1">
        <f t="array" ref="B16">_xlfn.IFS(OR(A16&gt;100, A16&lt;0), $F$13, A16&gt;=75, $F$14, A16&gt;=60, $F$15, A16&gt;=45, $F$16, A16&gt;=30, $F$17, A16&gt;=0, $F$18)</f>
        <v>Third Class</v>
      </c>
      <c r="E16" s="7" t="s">
        <v>266</v>
      </c>
      <c r="F16" s="7" t="s">
        <v>267</v>
      </c>
    </row>
    <row r="17" spans="1:6" x14ac:dyDescent="0.35">
      <c r="A17" s="7">
        <v>59</v>
      </c>
      <c r="B17" s="7" t="str" cm="1">
        <f t="array" ref="B17">_xlfn.IFS(OR(A17&gt;100, A17&lt;0), $F$13, A17&gt;=75, $F$14, A17&gt;=60, $F$15, A17&gt;=45, $F$16, A17&gt;=30, $F$17, A17&gt;=0, $F$18)</f>
        <v>Second Class</v>
      </c>
      <c r="E17" s="7" t="s">
        <v>268</v>
      </c>
      <c r="F17" s="7" t="s">
        <v>269</v>
      </c>
    </row>
    <row r="18" spans="1:6" x14ac:dyDescent="0.35">
      <c r="A18" s="7">
        <v>76</v>
      </c>
      <c r="B18" s="7" t="str" cm="1">
        <f t="array" ref="B18">_xlfn.IFS(OR(A18&gt;100, A18&lt;0), $F$13, A18&gt;=75, $F$14, A18&gt;=60, $F$15, A18&gt;=45, $F$16, A18&gt;=30, $F$17, A18&gt;=0, $F$18)</f>
        <v>Distinction</v>
      </c>
      <c r="E18" s="7" t="s">
        <v>270</v>
      </c>
      <c r="F18" s="7" t="s">
        <v>260</v>
      </c>
    </row>
    <row r="19" spans="1:6" x14ac:dyDescent="0.35">
      <c r="A19" s="7">
        <v>61</v>
      </c>
      <c r="B19" s="7" t="str" cm="1">
        <f t="array" ref="B19">_xlfn.IFS(OR(A19&gt;100, A19&lt;0), $F$13, A19&gt;=75, $F$14, A19&gt;=60, $F$15, A19&gt;=45, $F$16, A19&gt;=30, $F$17, A19&gt;=0, $F$18)</f>
        <v>First Class</v>
      </c>
    </row>
    <row r="20" spans="1:6" x14ac:dyDescent="0.35">
      <c r="A20" s="7">
        <v>-3</v>
      </c>
      <c r="B20" s="7" t="str" cm="1">
        <f t="array" ref="B20">_xlfn.IFS(OR(A20&gt;100, A20&lt;0), $F$13, A20&gt;=75, $F$14, A20&gt;=60, $F$15, A20&gt;=45, $F$16, A20&gt;=30, $F$17, A20&gt;=0, $F$18)</f>
        <v>Invalid Entry</v>
      </c>
    </row>
  </sheetData>
  <mergeCells count="1">
    <mergeCell ref="A13:B1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D5C6C-543B-4792-A7B3-88E74719598B}">
  <dimension ref="A1:C9"/>
  <sheetViews>
    <sheetView zoomScale="145" zoomScaleNormal="145" workbookViewId="0">
      <selection activeCell="C13" sqref="C13"/>
    </sheetView>
  </sheetViews>
  <sheetFormatPr defaultRowHeight="14.5" x14ac:dyDescent="0.35"/>
  <cols>
    <col min="1" max="1" width="23.453125" style="4" customWidth="1"/>
    <col min="2" max="2" width="24" style="4" customWidth="1"/>
    <col min="3" max="3" width="37.453125" customWidth="1"/>
  </cols>
  <sheetData>
    <row r="1" spans="1:3" x14ac:dyDescent="0.35">
      <c r="A1" s="4">
        <v>10</v>
      </c>
      <c r="B1" s="4">
        <v>5</v>
      </c>
      <c r="C1" s="140">
        <f>A1+B1</f>
        <v>15</v>
      </c>
    </row>
    <row r="3" spans="1:3" x14ac:dyDescent="0.35">
      <c r="A3" s="4">
        <v>10</v>
      </c>
      <c r="B3" s="4">
        <v>9</v>
      </c>
      <c r="C3" s="140" t="str">
        <f>"Addition = " &amp; A3+B3</f>
        <v>Addition = 19</v>
      </c>
    </row>
    <row r="6" spans="1:3" x14ac:dyDescent="0.35">
      <c r="A6" s="4">
        <v>12</v>
      </c>
      <c r="B6" s="4">
        <v>9</v>
      </c>
      <c r="C6" s="141" t="str">
        <f>"Addition of " &amp; A6 &amp; " and " &amp; B6 &amp; " = " &amp; A6 + B6</f>
        <v>Addition of 12 and 9 = 21</v>
      </c>
    </row>
    <row r="7" spans="1:3" x14ac:dyDescent="0.35">
      <c r="A7" s="4">
        <v>20</v>
      </c>
      <c r="B7" s="4">
        <v>12</v>
      </c>
      <c r="C7" s="141" t="str">
        <f t="shared" ref="C7:C9" si="0">"Addition of " &amp; A7 &amp; " and " &amp; B7 &amp; " = " &amp; A7 + B7</f>
        <v>Addition of 20 and 12 = 32</v>
      </c>
    </row>
    <row r="8" spans="1:3" x14ac:dyDescent="0.35">
      <c r="A8" s="4">
        <v>50</v>
      </c>
      <c r="B8" s="4">
        <v>123</v>
      </c>
      <c r="C8" s="141" t="str">
        <f t="shared" si="0"/>
        <v>Addition of 50 and 123 = 173</v>
      </c>
    </row>
    <row r="9" spans="1:3" x14ac:dyDescent="0.35">
      <c r="A9" s="4">
        <v>1678</v>
      </c>
      <c r="B9" s="4">
        <v>199</v>
      </c>
      <c r="C9" s="141" t="str">
        <f t="shared" si="0"/>
        <v>Addition of 1678 and 199 = 1877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3FD95-7CBA-4576-BE7D-58B31D354AC3}">
  <sheetPr>
    <tabColor rgb="FF00B050"/>
  </sheetPr>
  <dimension ref="A1:I35"/>
  <sheetViews>
    <sheetView zoomScale="115" zoomScaleNormal="115" workbookViewId="0">
      <pane ySplit="1" topLeftCell="A20" activePane="bottomLeft" state="frozen"/>
      <selection pane="bottomLeft" activeCell="G29" sqref="G29"/>
    </sheetView>
  </sheetViews>
  <sheetFormatPr defaultRowHeight="14.5" x14ac:dyDescent="0.35"/>
  <cols>
    <col min="1" max="1" width="12.08984375" bestFit="1" customWidth="1"/>
    <col min="2" max="2" width="15.453125" customWidth="1"/>
    <col min="3" max="3" width="21.453125" customWidth="1"/>
    <col min="4" max="4" width="16.81640625" customWidth="1"/>
    <col min="5" max="5" width="15.1796875" customWidth="1"/>
    <col min="6" max="6" width="16.1796875" customWidth="1"/>
    <col min="7" max="7" width="12.6328125" customWidth="1"/>
    <col min="8" max="9" width="13.81640625" customWidth="1"/>
    <col min="10" max="10" width="11.453125" customWidth="1"/>
    <col min="11" max="11" width="10.26953125" customWidth="1"/>
    <col min="12" max="12" width="10.7265625" bestFit="1" customWidth="1"/>
  </cols>
  <sheetData>
    <row r="1" spans="1:9" x14ac:dyDescent="0.35">
      <c r="A1" s="95" t="s">
        <v>27</v>
      </c>
      <c r="B1" s="96" t="s">
        <v>0</v>
      </c>
      <c r="C1" s="95" t="s">
        <v>1</v>
      </c>
      <c r="D1" s="95" t="s">
        <v>2</v>
      </c>
      <c r="E1" s="95" t="s">
        <v>3</v>
      </c>
      <c r="F1" s="95" t="s">
        <v>4</v>
      </c>
      <c r="G1" s="95" t="s">
        <v>5</v>
      </c>
      <c r="H1" s="95" t="s">
        <v>6</v>
      </c>
      <c r="I1" s="95" t="s">
        <v>7</v>
      </c>
    </row>
    <row r="2" spans="1:9" x14ac:dyDescent="0.35">
      <c r="A2" s="7">
        <v>1</v>
      </c>
      <c r="B2" s="8">
        <v>43106</v>
      </c>
      <c r="C2" s="9" t="s">
        <v>8</v>
      </c>
      <c r="D2" s="10" t="s">
        <v>9</v>
      </c>
      <c r="E2" s="11" t="s">
        <v>10</v>
      </c>
      <c r="F2" s="11" t="s">
        <v>11</v>
      </c>
      <c r="G2" s="12">
        <v>95</v>
      </c>
      <c r="H2" s="1">
        <v>1198</v>
      </c>
      <c r="I2" s="13">
        <f>G2*H2</f>
        <v>113810</v>
      </c>
    </row>
    <row r="3" spans="1:9" x14ac:dyDescent="0.35">
      <c r="A3" s="7">
        <v>2</v>
      </c>
      <c r="B3" s="8">
        <v>43123</v>
      </c>
      <c r="C3" s="9" t="s">
        <v>12</v>
      </c>
      <c r="D3" s="10" t="s">
        <v>13</v>
      </c>
      <c r="E3" s="11" t="s">
        <v>14</v>
      </c>
      <c r="F3" s="14" t="s">
        <v>15</v>
      </c>
      <c r="G3" s="15">
        <v>50</v>
      </c>
      <c r="H3" s="1">
        <v>400</v>
      </c>
      <c r="I3" s="13">
        <f t="shared" ref="I3:I11" si="0">G3*H3</f>
        <v>20000</v>
      </c>
    </row>
    <row r="4" spans="1:9" x14ac:dyDescent="0.35">
      <c r="A4" s="7">
        <v>3</v>
      </c>
      <c r="B4" s="8">
        <v>43140</v>
      </c>
      <c r="C4" s="9" t="s">
        <v>12</v>
      </c>
      <c r="D4" s="10" t="s">
        <v>13</v>
      </c>
      <c r="E4" s="11" t="s">
        <v>16</v>
      </c>
      <c r="F4" s="14" t="s">
        <v>11</v>
      </c>
      <c r="G4" s="15">
        <v>36</v>
      </c>
      <c r="H4" s="1">
        <v>1198</v>
      </c>
      <c r="I4" s="13">
        <f t="shared" si="0"/>
        <v>43128</v>
      </c>
    </row>
    <row r="5" spans="1:9" x14ac:dyDescent="0.35">
      <c r="A5" s="7">
        <v>4</v>
      </c>
      <c r="B5" s="8">
        <v>43157</v>
      </c>
      <c r="C5" s="9" t="s">
        <v>12</v>
      </c>
      <c r="D5" s="10" t="s">
        <v>17</v>
      </c>
      <c r="E5" s="11" t="s">
        <v>18</v>
      </c>
      <c r="F5" s="14" t="s">
        <v>19</v>
      </c>
      <c r="G5" s="15">
        <v>27</v>
      </c>
      <c r="H5" s="1">
        <v>225</v>
      </c>
      <c r="I5" s="13">
        <f t="shared" si="0"/>
        <v>6075</v>
      </c>
    </row>
    <row r="6" spans="1:9" x14ac:dyDescent="0.35">
      <c r="A6" s="7">
        <v>5</v>
      </c>
      <c r="B6" s="8">
        <v>43174</v>
      </c>
      <c r="C6" s="9" t="s">
        <v>20</v>
      </c>
      <c r="D6" s="10" t="s">
        <v>17</v>
      </c>
      <c r="E6" s="11" t="s">
        <v>21</v>
      </c>
      <c r="F6" s="14" t="s">
        <v>11</v>
      </c>
      <c r="G6" s="15">
        <v>56</v>
      </c>
      <c r="H6" s="1">
        <v>1198</v>
      </c>
      <c r="I6" s="13">
        <f t="shared" si="0"/>
        <v>67088</v>
      </c>
    </row>
    <row r="7" spans="1:9" x14ac:dyDescent="0.35">
      <c r="A7" s="7">
        <v>6</v>
      </c>
      <c r="B7" s="8">
        <v>43191</v>
      </c>
      <c r="C7" s="9" t="s">
        <v>8</v>
      </c>
      <c r="D7" s="10" t="s">
        <v>9</v>
      </c>
      <c r="E7" s="11" t="s">
        <v>10</v>
      </c>
      <c r="F7" s="14" t="s">
        <v>15</v>
      </c>
      <c r="G7" s="15">
        <v>60</v>
      </c>
      <c r="H7" s="1">
        <v>500</v>
      </c>
      <c r="I7" s="13">
        <f t="shared" si="0"/>
        <v>30000</v>
      </c>
    </row>
    <row r="8" spans="1:9" x14ac:dyDescent="0.35">
      <c r="A8" s="7">
        <v>7</v>
      </c>
      <c r="B8" s="8">
        <v>43208</v>
      </c>
      <c r="C8" s="9" t="s">
        <v>12</v>
      </c>
      <c r="D8" s="11" t="s">
        <v>9</v>
      </c>
      <c r="E8" s="11" t="s">
        <v>22</v>
      </c>
      <c r="F8" s="14" t="s">
        <v>11</v>
      </c>
      <c r="G8" s="15">
        <v>75</v>
      </c>
      <c r="H8" s="1">
        <v>1198</v>
      </c>
      <c r="I8" s="13">
        <f>G8*H8</f>
        <v>89850</v>
      </c>
    </row>
    <row r="9" spans="1:9" x14ac:dyDescent="0.35">
      <c r="A9" s="7">
        <v>8</v>
      </c>
      <c r="B9" s="8">
        <v>43225</v>
      </c>
      <c r="C9" s="9" t="s">
        <v>12</v>
      </c>
      <c r="D9" s="10" t="s">
        <v>13</v>
      </c>
      <c r="E9" s="11" t="s">
        <v>16</v>
      </c>
      <c r="F9" s="14" t="s">
        <v>11</v>
      </c>
      <c r="G9" s="15">
        <v>90</v>
      </c>
      <c r="H9" s="1">
        <v>1198</v>
      </c>
      <c r="I9" s="13">
        <f t="shared" si="0"/>
        <v>107820</v>
      </c>
    </row>
    <row r="10" spans="1:9" x14ac:dyDescent="0.35">
      <c r="A10" s="7">
        <v>9</v>
      </c>
      <c r="B10" s="8">
        <v>43242</v>
      </c>
      <c r="C10" s="9" t="s">
        <v>20</v>
      </c>
      <c r="D10" s="16" t="s">
        <v>23</v>
      </c>
      <c r="E10" s="11" t="s">
        <v>24</v>
      </c>
      <c r="F10" s="14" t="s">
        <v>11</v>
      </c>
      <c r="G10" s="15">
        <v>32</v>
      </c>
      <c r="H10" s="6">
        <v>1198</v>
      </c>
      <c r="I10" s="13">
        <f t="shared" si="0"/>
        <v>38336</v>
      </c>
    </row>
    <row r="11" spans="1:9" x14ac:dyDescent="0.35">
      <c r="A11" s="7">
        <v>10</v>
      </c>
      <c r="B11" s="8">
        <v>43259</v>
      </c>
      <c r="C11" s="9" t="s">
        <v>8</v>
      </c>
      <c r="D11" s="10" t="s">
        <v>9</v>
      </c>
      <c r="E11" s="11" t="s">
        <v>10</v>
      </c>
      <c r="F11" s="14" t="s">
        <v>15</v>
      </c>
      <c r="G11" s="15">
        <v>60</v>
      </c>
      <c r="H11" s="6">
        <v>500</v>
      </c>
      <c r="I11" s="13">
        <f t="shared" si="0"/>
        <v>30000</v>
      </c>
    </row>
    <row r="14" spans="1:9" x14ac:dyDescent="0.35">
      <c r="A14" s="60" t="s">
        <v>279</v>
      </c>
    </row>
    <row r="16" spans="1:9" x14ac:dyDescent="0.35">
      <c r="A16" s="95" t="s">
        <v>27</v>
      </c>
      <c r="B16" s="95" t="s">
        <v>4</v>
      </c>
      <c r="C16" s="95" t="s">
        <v>7</v>
      </c>
      <c r="D16" s="95" t="s">
        <v>5</v>
      </c>
      <c r="F16" s="95" t="s">
        <v>27</v>
      </c>
      <c r="G16" s="95" t="s">
        <v>4</v>
      </c>
      <c r="H16" s="95" t="s">
        <v>7</v>
      </c>
    </row>
    <row r="17" spans="1:8" x14ac:dyDescent="0.35">
      <c r="A17" s="7">
        <v>6</v>
      </c>
      <c r="B17" s="48" t="str">
        <f>VLOOKUP(A17, $A$1:$I$11, 6, 0)</f>
        <v>Home Theater</v>
      </c>
      <c r="C17" s="146">
        <f>VLOOKUP(A17, $A$1:$I$11, 9, 0)</f>
        <v>30000</v>
      </c>
      <c r="D17" s="7">
        <f>VLOOKUP(A17, $A$1:$I$11, 7, 0)</f>
        <v>60</v>
      </c>
      <c r="F17" s="7">
        <v>2</v>
      </c>
      <c r="G17" s="48" t="str">
        <f>VLOOKUP(F17, $A$1:$I$11, 6, 0)</f>
        <v>Home Theater</v>
      </c>
      <c r="H17" s="146">
        <f>VLOOKUP(F17, $A$1:$I$11, 9, 0)</f>
        <v>20000</v>
      </c>
    </row>
    <row r="18" spans="1:8" x14ac:dyDescent="0.35">
      <c r="A18" s="7">
        <v>3</v>
      </c>
      <c r="B18" s="48" t="str">
        <f>VLOOKUP(A18, $A$1:$I$11, 6, 0)</f>
        <v>Television</v>
      </c>
      <c r="C18" s="146">
        <f>VLOOKUP(A18, $A$1:$I$11, 9, 0)</f>
        <v>43128</v>
      </c>
      <c r="D18" s="7">
        <f>VLOOKUP(A18, $A$1:$I$11, 7, 0)</f>
        <v>36</v>
      </c>
    </row>
    <row r="19" spans="1:8" x14ac:dyDescent="0.35">
      <c r="A19" s="7">
        <v>4</v>
      </c>
      <c r="B19" s="48" t="str">
        <f>VLOOKUP(A19, $A$1:$I$11, 6, 0)</f>
        <v>Cell Phone</v>
      </c>
      <c r="C19" s="146">
        <f>VLOOKUP(A19, $A$1:$I$11, 9, 0)</f>
        <v>6075</v>
      </c>
      <c r="D19" s="7">
        <f>VLOOKUP(A19, $A$1:$I$11, 7, 0)</f>
        <v>27</v>
      </c>
    </row>
    <row r="22" spans="1:8" x14ac:dyDescent="0.35">
      <c r="A22" s="147" t="s">
        <v>280</v>
      </c>
    </row>
    <row r="24" spans="1:8" x14ac:dyDescent="0.35">
      <c r="A24" s="95" t="s">
        <v>27</v>
      </c>
      <c r="B24" s="95" t="s">
        <v>4</v>
      </c>
      <c r="C24" s="95" t="s">
        <v>7</v>
      </c>
      <c r="D24" s="95" t="s">
        <v>5</v>
      </c>
      <c r="F24" s="95" t="s">
        <v>27</v>
      </c>
      <c r="G24" s="95" t="s">
        <v>4</v>
      </c>
      <c r="H24" s="95" t="s">
        <v>7</v>
      </c>
    </row>
    <row r="25" spans="1:8" x14ac:dyDescent="0.35">
      <c r="A25" s="7">
        <v>6</v>
      </c>
      <c r="B25" s="48" t="str">
        <f>_xlfn.XLOOKUP(A25, $A$2:$A$11, $F$2:$F$11, "Not Found", 0)</f>
        <v>Home Theater</v>
      </c>
      <c r="C25" s="146">
        <f>_xlfn.XLOOKUP(A25, $A$2:$A$11, $I$2:$I$11, "Order ID not found", 0)</f>
        <v>30000</v>
      </c>
      <c r="D25" s="7">
        <f>_xlfn.XLOOKUP(A25, $A$2:$A$11, $G$2:$G$11, "not found", 0)</f>
        <v>60</v>
      </c>
      <c r="F25" s="7">
        <v>2</v>
      </c>
      <c r="G25" s="48" t="str">
        <f>_xlfn.XLOOKUP(F25, A2:A11, F2:F11, "Data Not available", 0)</f>
        <v>Home Theater</v>
      </c>
      <c r="H25" s="146">
        <f>_xlfn.XLOOKUP(F25, A2:A11,I2:I11, "Not found", 0)</f>
        <v>20000</v>
      </c>
    </row>
    <row r="26" spans="1:8" x14ac:dyDescent="0.35">
      <c r="A26" s="7">
        <v>3</v>
      </c>
      <c r="B26" s="48" t="str">
        <f>_xlfn.XLOOKUP(A26, $A$2:$A$11, $F$2:$F$11, "Not Found", 0)</f>
        <v>Television</v>
      </c>
      <c r="C26" s="146">
        <f>_xlfn.XLOOKUP(A26, $A$2:$A$11, $I$2:$I$11, "Order ID not found", 0)</f>
        <v>43128</v>
      </c>
      <c r="D26" s="7">
        <f>_xlfn.XLOOKUP(A26, $A$2:$A$11, $G$2:$G$11, "not found", 0)</f>
        <v>36</v>
      </c>
    </row>
    <row r="27" spans="1:8" x14ac:dyDescent="0.35">
      <c r="A27" s="7">
        <v>4</v>
      </c>
      <c r="B27" s="48" t="str">
        <f>_xlfn.XLOOKUP(A27, $A$2:$A$11, $F$2:$F$11, "Not Found", 0)</f>
        <v>Cell Phone</v>
      </c>
      <c r="C27" s="146">
        <f>_xlfn.XLOOKUP(A27, $A$2:$A$11, $I$2:$I$11, "Order ID not found", 0)</f>
        <v>6075</v>
      </c>
      <c r="D27" s="7">
        <f>_xlfn.XLOOKUP(A27, $A$2:$A$11, $G$2:$G$11, "not found", 0)</f>
        <v>27</v>
      </c>
    </row>
    <row r="30" spans="1:8" x14ac:dyDescent="0.35">
      <c r="A30" s="147" t="s">
        <v>281</v>
      </c>
    </row>
    <row r="32" spans="1:8" x14ac:dyDescent="0.35">
      <c r="A32" s="95" t="s">
        <v>27</v>
      </c>
      <c r="B32" s="95" t="s">
        <v>4</v>
      </c>
      <c r="C32" s="95" t="s">
        <v>7</v>
      </c>
      <c r="D32" s="95" t="s">
        <v>5</v>
      </c>
      <c r="F32" s="95" t="s">
        <v>27</v>
      </c>
      <c r="G32" s="95" t="s">
        <v>4</v>
      </c>
      <c r="H32" s="95" t="s">
        <v>7</v>
      </c>
    </row>
    <row r="33" spans="1:8" x14ac:dyDescent="0.35">
      <c r="A33" s="7">
        <v>6</v>
      </c>
      <c r="B33" s="48" t="str">
        <f>INDEX($F$2:$F$11, MATCH(A33, $A$2:$A$11, 0))</f>
        <v>Home Theater</v>
      </c>
      <c r="C33" s="146">
        <f>INDEX($I$2:$I$11, MATCH(A33, $A$2:$A$11, 0))</f>
        <v>30000</v>
      </c>
      <c r="D33" s="7">
        <f>INDEX($G$2:$G$11, MATCH(A33, $A$2:$A$11, 0))</f>
        <v>60</v>
      </c>
      <c r="F33" s="7">
        <v>2</v>
      </c>
      <c r="G33" s="48"/>
      <c r="H33" s="146"/>
    </row>
    <row r="34" spans="1:8" x14ac:dyDescent="0.35">
      <c r="A34" s="7">
        <v>3</v>
      </c>
      <c r="B34" s="48" t="str">
        <f>INDEX($F$2:$F$11, MATCH(A34, $A$2:$A$11, 0))</f>
        <v>Television</v>
      </c>
      <c r="C34" s="146">
        <f>INDEX($I$2:$I$11, MATCH(A34, $A$2:$A$11, 0))</f>
        <v>43128</v>
      </c>
      <c r="D34" s="7">
        <f>INDEX($G$2:$G$11, MATCH(A34, $A$2:$A$11, 0))</f>
        <v>36</v>
      </c>
    </row>
    <row r="35" spans="1:8" x14ac:dyDescent="0.35">
      <c r="A35" s="7">
        <v>4</v>
      </c>
      <c r="B35" s="48" t="str">
        <f>INDEX($F$2:$F$11, MATCH(A35, $A$2:$A$11, 0))</f>
        <v>Cell Phone</v>
      </c>
      <c r="C35" s="146">
        <f>INDEX($I$2:$I$11, MATCH(A35, $A$2:$A$11, 0))</f>
        <v>6075</v>
      </c>
      <c r="D35" s="7">
        <f>INDEX($G$2:$G$11, MATCH(A35, $A$2:$A$11, 0))</f>
        <v>27</v>
      </c>
    </row>
  </sheetData>
  <autoFilter ref="A1:I1" xr:uid="{BAF55E6E-15CA-42E7-85D6-568C3BCDF332}"/>
  <dataValidations count="1">
    <dataValidation type="list" allowBlank="1" showInputMessage="1" showErrorMessage="1" sqref="F17 F25 F33" xr:uid="{A8FADCE0-09BA-46F1-A51A-F197D1923668}">
      <formula1>$A$2:$A$11</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6E6DD-90DB-49A7-85F9-8552392438E6}">
  <dimension ref="A1:D7"/>
  <sheetViews>
    <sheetView zoomScale="175" zoomScaleNormal="175" workbookViewId="0">
      <selection activeCell="G6" sqref="G6"/>
    </sheetView>
  </sheetViews>
  <sheetFormatPr defaultRowHeight="14.5" x14ac:dyDescent="0.35"/>
  <cols>
    <col min="1" max="1" width="11.7265625" customWidth="1"/>
    <col min="2" max="2" width="11.08984375" customWidth="1"/>
    <col min="3" max="3" width="13.7265625" customWidth="1"/>
    <col min="4" max="4" width="12.26953125" customWidth="1"/>
  </cols>
  <sheetData>
    <row r="1" spans="1:4" x14ac:dyDescent="0.35">
      <c r="A1" s="148" t="s">
        <v>282</v>
      </c>
      <c r="B1" s="148" t="s">
        <v>283</v>
      </c>
      <c r="C1" s="148" t="s">
        <v>284</v>
      </c>
      <c r="D1" s="148" t="s">
        <v>285</v>
      </c>
    </row>
    <row r="2" spans="1:4" x14ac:dyDescent="0.35">
      <c r="A2" s="7" t="s">
        <v>286</v>
      </c>
      <c r="B2" s="7">
        <v>2</v>
      </c>
      <c r="C2" s="7">
        <v>100</v>
      </c>
      <c r="D2" s="79">
        <f>B2*C2</f>
        <v>200</v>
      </c>
    </row>
    <row r="3" spans="1:4" x14ac:dyDescent="0.35">
      <c r="A3" s="7" t="s">
        <v>287</v>
      </c>
      <c r="B3" s="7">
        <v>6</v>
      </c>
      <c r="C3" s="7">
        <v>45</v>
      </c>
      <c r="D3" s="79">
        <f t="shared" ref="D3:D6" si="0">B3*C3</f>
        <v>270</v>
      </c>
    </row>
    <row r="4" spans="1:4" x14ac:dyDescent="0.35">
      <c r="A4" s="7" t="s">
        <v>288</v>
      </c>
      <c r="B4" s="7">
        <v>3</v>
      </c>
      <c r="C4" s="7">
        <v>29</v>
      </c>
      <c r="D4" s="79">
        <f t="shared" si="0"/>
        <v>87</v>
      </c>
    </row>
    <row r="5" spans="1:4" x14ac:dyDescent="0.35">
      <c r="A5" s="7" t="s">
        <v>289</v>
      </c>
      <c r="B5" s="7">
        <v>9</v>
      </c>
      <c r="C5" s="7">
        <v>56</v>
      </c>
      <c r="D5" s="79">
        <f t="shared" si="0"/>
        <v>504</v>
      </c>
    </row>
    <row r="6" spans="1:4" x14ac:dyDescent="0.35">
      <c r="A6" s="7" t="s">
        <v>290</v>
      </c>
      <c r="B6" s="7">
        <v>4</v>
      </c>
      <c r="C6" s="7">
        <v>87</v>
      </c>
      <c r="D6" s="79">
        <f t="shared" si="0"/>
        <v>348</v>
      </c>
    </row>
    <row r="7" spans="1:4" x14ac:dyDescent="0.35">
      <c r="C7" s="54" t="s">
        <v>95</v>
      </c>
      <c r="D7" s="150">
        <f>SUM(D2:D6)</f>
        <v>1409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6E1E8-9811-4FFC-A5A0-BFD66A972CBD}">
  <dimension ref="A1:D7"/>
  <sheetViews>
    <sheetView zoomScale="175" zoomScaleNormal="175" workbookViewId="0">
      <selection activeCell="F7" sqref="F7"/>
    </sheetView>
  </sheetViews>
  <sheetFormatPr defaultRowHeight="14.5" x14ac:dyDescent="0.35"/>
  <cols>
    <col min="1" max="1" width="10.26953125" customWidth="1"/>
    <col min="2" max="2" width="9.90625" customWidth="1"/>
    <col min="3" max="3" width="14.453125" customWidth="1"/>
    <col min="4" max="4" width="16.54296875" customWidth="1"/>
    <col min="6" max="6" width="8.7265625" customWidth="1"/>
  </cols>
  <sheetData>
    <row r="1" spans="1:4" x14ac:dyDescent="0.35">
      <c r="A1" s="149" t="s">
        <v>282</v>
      </c>
      <c r="B1" s="149" t="s">
        <v>283</v>
      </c>
      <c r="C1" s="149" t="s">
        <v>284</v>
      </c>
      <c r="D1" s="149" t="s">
        <v>285</v>
      </c>
    </row>
    <row r="2" spans="1:4" x14ac:dyDescent="0.35">
      <c r="A2" s="7" t="s">
        <v>291</v>
      </c>
      <c r="B2" s="7">
        <v>8</v>
      </c>
      <c r="C2" s="7">
        <v>150</v>
      </c>
      <c r="D2" s="79">
        <f>B2*C2</f>
        <v>1200</v>
      </c>
    </row>
    <row r="3" spans="1:4" x14ac:dyDescent="0.35">
      <c r="A3" s="7" t="s">
        <v>292</v>
      </c>
      <c r="B3" s="7">
        <v>9</v>
      </c>
      <c r="C3" s="7">
        <v>43</v>
      </c>
      <c r="D3" s="79">
        <f t="shared" ref="D3:D6" si="0">B3*C3</f>
        <v>387</v>
      </c>
    </row>
    <row r="4" spans="1:4" x14ac:dyDescent="0.35">
      <c r="A4" s="7" t="s">
        <v>293</v>
      </c>
      <c r="B4" s="7">
        <v>3</v>
      </c>
      <c r="C4" s="7">
        <v>59</v>
      </c>
      <c r="D4" s="79">
        <f t="shared" si="0"/>
        <v>177</v>
      </c>
    </row>
    <row r="5" spans="1:4" x14ac:dyDescent="0.35">
      <c r="A5" s="7" t="s">
        <v>294</v>
      </c>
      <c r="B5" s="7">
        <v>6</v>
      </c>
      <c r="C5" s="7">
        <v>76</v>
      </c>
      <c r="D5" s="79">
        <f t="shared" si="0"/>
        <v>456</v>
      </c>
    </row>
    <row r="6" spans="1:4" x14ac:dyDescent="0.35">
      <c r="A6" s="7" t="s">
        <v>295</v>
      </c>
      <c r="B6" s="7">
        <v>3</v>
      </c>
      <c r="C6" s="7">
        <v>99</v>
      </c>
      <c r="D6" s="79">
        <f t="shared" si="0"/>
        <v>297</v>
      </c>
    </row>
    <row r="7" spans="1:4" x14ac:dyDescent="0.35">
      <c r="C7" s="54" t="s">
        <v>95</v>
      </c>
      <c r="D7" s="151">
        <f>SUM(D2:D6)</f>
        <v>2517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3FC28-F901-4E08-A678-0D202AE1FDCA}">
  <dimension ref="A1:D7"/>
  <sheetViews>
    <sheetView zoomScale="160" zoomScaleNormal="160" workbookViewId="0">
      <selection activeCell="G7" sqref="G7"/>
    </sheetView>
  </sheetViews>
  <sheetFormatPr defaultRowHeight="14.5" x14ac:dyDescent="0.35"/>
  <cols>
    <col min="3" max="3" width="11.7265625" customWidth="1"/>
    <col min="4" max="4" width="11.6328125" customWidth="1"/>
  </cols>
  <sheetData>
    <row r="1" spans="1:4" x14ac:dyDescent="0.35">
      <c r="A1" s="148" t="s">
        <v>282</v>
      </c>
      <c r="B1" s="148" t="s">
        <v>283</v>
      </c>
      <c r="C1" s="148" t="s">
        <v>284</v>
      </c>
      <c r="D1" s="148" t="s">
        <v>285</v>
      </c>
    </row>
    <row r="2" spans="1:4" x14ac:dyDescent="0.35">
      <c r="A2" s="7" t="s">
        <v>286</v>
      </c>
      <c r="B2" s="7">
        <v>2</v>
      </c>
      <c r="C2" s="7">
        <v>100</v>
      </c>
      <c r="D2" s="81">
        <f>B2*C2</f>
        <v>200</v>
      </c>
    </row>
    <row r="3" spans="1:4" x14ac:dyDescent="0.35">
      <c r="A3" s="7" t="s">
        <v>287</v>
      </c>
      <c r="B3" s="7">
        <v>6</v>
      </c>
      <c r="C3" s="7">
        <v>45</v>
      </c>
      <c r="D3" s="81">
        <f t="shared" ref="D3:D6" si="0">B3*C3</f>
        <v>270</v>
      </c>
    </row>
    <row r="4" spans="1:4" x14ac:dyDescent="0.35">
      <c r="A4" s="7" t="s">
        <v>288</v>
      </c>
      <c r="B4" s="7">
        <v>3</v>
      </c>
      <c r="C4" s="7">
        <v>29</v>
      </c>
      <c r="D4" s="81">
        <f t="shared" si="0"/>
        <v>87</v>
      </c>
    </row>
    <row r="5" spans="1:4" x14ac:dyDescent="0.35">
      <c r="A5" s="7" t="s">
        <v>289</v>
      </c>
      <c r="B5" s="7">
        <v>9</v>
      </c>
      <c r="C5" s="7">
        <v>56</v>
      </c>
      <c r="D5" s="81">
        <f t="shared" si="0"/>
        <v>504</v>
      </c>
    </row>
    <row r="6" spans="1:4" x14ac:dyDescent="0.35">
      <c r="A6" s="7" t="s">
        <v>290</v>
      </c>
      <c r="B6" s="7">
        <v>4</v>
      </c>
      <c r="C6" s="7">
        <v>87</v>
      </c>
      <c r="D6" s="81">
        <f t="shared" si="0"/>
        <v>348</v>
      </c>
    </row>
    <row r="7" spans="1:4" x14ac:dyDescent="0.35">
      <c r="C7" s="54" t="s">
        <v>95</v>
      </c>
      <c r="D7" s="152">
        <f>SUM(D2:D6)</f>
        <v>1409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515F6-83C5-4FB3-8727-F95AE7576C7C}">
  <dimension ref="D4:G10"/>
  <sheetViews>
    <sheetView zoomScale="160" zoomScaleNormal="160" workbookViewId="0">
      <selection activeCell="I6" sqref="I6"/>
    </sheetView>
  </sheetViews>
  <sheetFormatPr defaultRowHeight="14.5" x14ac:dyDescent="0.35"/>
  <cols>
    <col min="4" max="4" width="11.453125" customWidth="1"/>
    <col min="5" max="5" width="10.453125" customWidth="1"/>
    <col min="6" max="6" width="12.54296875" customWidth="1"/>
    <col min="7" max="7" width="17.26953125" customWidth="1"/>
  </cols>
  <sheetData>
    <row r="4" spans="4:7" x14ac:dyDescent="0.35">
      <c r="D4" s="149" t="s">
        <v>282</v>
      </c>
      <c r="E4" s="149" t="s">
        <v>283</v>
      </c>
      <c r="F4" s="149" t="s">
        <v>284</v>
      </c>
      <c r="G4" s="149" t="s">
        <v>285</v>
      </c>
    </row>
    <row r="5" spans="4:7" x14ac:dyDescent="0.35">
      <c r="D5" s="7" t="s">
        <v>291</v>
      </c>
      <c r="E5" s="7">
        <v>8</v>
      </c>
      <c r="F5" s="7">
        <v>150</v>
      </c>
      <c r="G5" s="81">
        <f>E5*F5</f>
        <v>1200</v>
      </c>
    </row>
    <row r="6" spans="4:7" x14ac:dyDescent="0.35">
      <c r="D6" s="7" t="s">
        <v>292</v>
      </c>
      <c r="E6" s="7">
        <v>9</v>
      </c>
      <c r="F6" s="7">
        <v>43</v>
      </c>
      <c r="G6" s="81">
        <f t="shared" ref="G6:G9" si="0">E6*F6</f>
        <v>387</v>
      </c>
    </row>
    <row r="7" spans="4:7" x14ac:dyDescent="0.35">
      <c r="D7" s="7" t="s">
        <v>293</v>
      </c>
      <c r="E7" s="7">
        <v>3</v>
      </c>
      <c r="F7" s="7">
        <v>59</v>
      </c>
      <c r="G7" s="81">
        <f t="shared" si="0"/>
        <v>177</v>
      </c>
    </row>
    <row r="8" spans="4:7" x14ac:dyDescent="0.35">
      <c r="D8" s="7" t="s">
        <v>294</v>
      </c>
      <c r="E8" s="7">
        <v>6</v>
      </c>
      <c r="F8" s="7">
        <v>76</v>
      </c>
      <c r="G8" s="81">
        <f t="shared" si="0"/>
        <v>456</v>
      </c>
    </row>
    <row r="9" spans="4:7" x14ac:dyDescent="0.35">
      <c r="D9" s="7" t="s">
        <v>295</v>
      </c>
      <c r="E9" s="7">
        <v>3</v>
      </c>
      <c r="F9" s="7">
        <v>99</v>
      </c>
      <c r="G9" s="81">
        <f t="shared" si="0"/>
        <v>297</v>
      </c>
    </row>
    <row r="10" spans="4:7" x14ac:dyDescent="0.35">
      <c r="F10" s="54" t="s">
        <v>95</v>
      </c>
      <c r="G10" s="153">
        <f>SUM(G5:G9)</f>
        <v>2517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9673BF-DE6A-445D-8571-9E4A5FDC06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7</vt:i4>
      </vt:variant>
    </vt:vector>
  </HeadingPairs>
  <TitlesOfParts>
    <vt:vector size="34" baseType="lpstr">
      <vt:lpstr>Trade</vt:lpstr>
      <vt:lpstr>Order</vt:lpstr>
      <vt:lpstr>Trade (2)</vt:lpstr>
      <vt:lpstr>Order (2)</vt:lpstr>
      <vt:lpstr>Slicers</vt:lpstr>
      <vt:lpstr>text2col</vt:lpstr>
      <vt:lpstr>F&amp;R</vt:lpstr>
      <vt:lpstr>Cond.Form</vt:lpstr>
      <vt:lpstr>Cond.form1</vt:lpstr>
      <vt:lpstr>reg-w-sal</vt:lpstr>
      <vt:lpstr>man-w-av-sal</vt:lpstr>
      <vt:lpstr>Pivot</vt:lpstr>
      <vt:lpstr>Dashboard</vt:lpstr>
      <vt:lpstr>DropDown</vt:lpstr>
      <vt:lpstr>DDL</vt:lpstr>
      <vt:lpstr>master-sheet</vt:lpstr>
      <vt:lpstr>PMT</vt:lpstr>
      <vt:lpstr>Date-Func</vt:lpstr>
      <vt:lpstr>Agg.Func</vt:lpstr>
      <vt:lpstr>Subtotal</vt:lpstr>
      <vt:lpstr>Log_Func</vt:lpstr>
      <vt:lpstr>msg+form</vt:lpstr>
      <vt:lpstr>Lookups</vt:lpstr>
      <vt:lpstr>A-macro</vt:lpstr>
      <vt:lpstr>AM</vt:lpstr>
      <vt:lpstr>R-Macro</vt:lpstr>
      <vt:lpstr>RM</vt:lpstr>
      <vt:lpstr>Excel</vt:lpstr>
      <vt:lpstr>Git</vt:lpstr>
      <vt:lpstr>Power_BI</vt:lpstr>
      <vt:lpstr>Python</vt:lpstr>
      <vt:lpstr>SQL</vt:lpstr>
      <vt:lpstr>VM</vt:lpstr>
      <vt:lpstr>WEB_dev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alam.mdimtiyaz085@gmail.com</dc:creator>
  <cp:lastModifiedBy>Imtiyaz  Alam</cp:lastModifiedBy>
  <cp:lastPrinted>2024-11-11T06:22:17Z</cp:lastPrinted>
  <dcterms:created xsi:type="dcterms:W3CDTF">2024-09-18T20:09:37Z</dcterms:created>
  <dcterms:modified xsi:type="dcterms:W3CDTF">2025-11-05T16:23:49Z</dcterms:modified>
</cp:coreProperties>
</file>